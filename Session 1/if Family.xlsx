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9E90D7-339A-414D-9743-E312A1D56EEB}" xr6:coauthVersionLast="47" xr6:coauthVersionMax="47" xr10:uidLastSave="{00000000-0000-0000-0000-000000000000}"/>
  <bookViews>
    <workbookView xWindow="-108" yWindow="-108" windowWidth="23256" windowHeight="12576" activeTab="1" xr2:uid="{B58783F0-BC51-4C7B-AEC8-92A5D01501F5}"/>
  </bookViews>
  <sheets>
    <sheet name="Sheet1" sheetId="5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7" i="5" l="1"/>
  <c r="B127" i="5"/>
  <c r="B126" i="5"/>
  <c r="B125" i="5"/>
  <c r="C124" i="5"/>
  <c r="B124" i="5"/>
  <c r="B123" i="5"/>
  <c r="B122" i="5"/>
  <c r="B121" i="5"/>
  <c r="C120" i="5"/>
  <c r="B120" i="5"/>
  <c r="B119" i="5"/>
  <c r="B118" i="5"/>
  <c r="B117" i="5"/>
  <c r="B116" i="5"/>
  <c r="B115" i="5"/>
  <c r="B114" i="5"/>
  <c r="C113" i="5"/>
  <c r="B113" i="5"/>
  <c r="B112" i="5"/>
  <c r="B111" i="5"/>
  <c r="B110" i="5"/>
  <c r="B109" i="5"/>
  <c r="B108" i="5"/>
  <c r="B107" i="5"/>
  <c r="B106" i="5"/>
  <c r="B105" i="5"/>
  <c r="C104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C91" i="5"/>
  <c r="B91" i="5"/>
  <c r="B90" i="5"/>
  <c r="B89" i="5"/>
  <c r="B88" i="5"/>
  <c r="B87" i="5"/>
  <c r="C86" i="5"/>
  <c r="B86" i="5"/>
  <c r="B85" i="5"/>
  <c r="B84" i="5"/>
  <c r="B83" i="5"/>
  <c r="B82" i="5"/>
  <c r="C81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C67" i="5"/>
  <c r="B67" i="5"/>
  <c r="B66" i="5"/>
  <c r="B65" i="5"/>
  <c r="B64" i="5"/>
  <c r="B63" i="5"/>
  <c r="C62" i="5"/>
  <c r="B62" i="5"/>
  <c r="B61" i="5"/>
  <c r="B60" i="5"/>
  <c r="B59" i="5"/>
  <c r="B58" i="5"/>
  <c r="B57" i="5"/>
  <c r="B56" i="5"/>
  <c r="B55" i="5"/>
  <c r="B54" i="5"/>
  <c r="B53" i="5"/>
  <c r="B52" i="5"/>
  <c r="C51" i="5"/>
  <c r="B51" i="5"/>
  <c r="B50" i="5"/>
  <c r="B49" i="5"/>
  <c r="C48" i="5"/>
  <c r="B48" i="5"/>
  <c r="B47" i="5"/>
  <c r="B46" i="5"/>
  <c r="B45" i="5"/>
  <c r="B44" i="5"/>
  <c r="B43" i="5"/>
  <c r="B42" i="5"/>
  <c r="C41" i="5"/>
  <c r="B41" i="5"/>
  <c r="B40" i="5"/>
  <c r="B39" i="5"/>
  <c r="B38" i="5"/>
  <c r="C37" i="5"/>
  <c r="B37" i="5"/>
  <c r="B36" i="5"/>
  <c r="C35" i="5"/>
  <c r="B35" i="5"/>
  <c r="B34" i="5"/>
  <c r="B33" i="5"/>
  <c r="C32" i="5"/>
  <c r="B32" i="5"/>
  <c r="B31" i="5"/>
  <c r="B30" i="5"/>
  <c r="B29" i="5"/>
  <c r="C28" i="5"/>
  <c r="B28" i="5"/>
  <c r="B27" i="5"/>
  <c r="C26" i="5"/>
  <c r="B26" i="5"/>
  <c r="B25" i="5"/>
  <c r="B24" i="5"/>
  <c r="B23" i="5"/>
  <c r="C22" i="5"/>
  <c r="B22" i="5"/>
  <c r="B21" i="5"/>
  <c r="B20" i="5"/>
  <c r="C19" i="5"/>
  <c r="B19" i="5"/>
  <c r="B18" i="5"/>
  <c r="B17" i="5"/>
  <c r="C16" i="5"/>
  <c r="B16" i="5"/>
  <c r="C15" i="5"/>
  <c r="B15" i="5"/>
  <c r="B14" i="5"/>
  <c r="C13" i="5"/>
  <c r="B13" i="5"/>
  <c r="C12" i="5"/>
  <c r="B12" i="5"/>
  <c r="B11" i="5"/>
  <c r="C10" i="5"/>
  <c r="B10" i="5"/>
  <c r="B9" i="5"/>
  <c r="C8" i="5"/>
  <c r="B8" i="5"/>
  <c r="B7" i="5"/>
  <c r="B6" i="5"/>
  <c r="B5" i="5"/>
  <c r="C4" i="5"/>
  <c r="B4" i="5"/>
  <c r="C3" i="5"/>
  <c r="B3" i="5"/>
</calcChain>
</file>

<file path=xl/sharedStrings.xml><?xml version="1.0" encoding="utf-8"?>
<sst xmlns="http://schemas.openxmlformats.org/spreadsheetml/2006/main" count="282" uniqueCount="152">
  <si>
    <t>Target</t>
  </si>
  <si>
    <t>Actual</t>
  </si>
  <si>
    <t>Type</t>
  </si>
  <si>
    <t>Name</t>
  </si>
  <si>
    <t>Salary</t>
  </si>
  <si>
    <t>HR</t>
  </si>
  <si>
    <t>Ahmed</t>
  </si>
  <si>
    <t>Mohamed</t>
  </si>
  <si>
    <t>Mahmoud</t>
  </si>
  <si>
    <t>Mostafa</t>
  </si>
  <si>
    <t>Youssef</t>
  </si>
  <si>
    <t>Omar</t>
  </si>
  <si>
    <t>Ali</t>
  </si>
  <si>
    <t>Hassan</t>
  </si>
  <si>
    <t>Hussein</t>
  </si>
  <si>
    <t>Khaled</t>
  </si>
  <si>
    <t>Amr</t>
  </si>
  <si>
    <t>Tamer</t>
  </si>
  <si>
    <t>Karim</t>
  </si>
  <si>
    <t>Islam</t>
  </si>
  <si>
    <t>Ayman</t>
  </si>
  <si>
    <t>Sherif</t>
  </si>
  <si>
    <t>Sameh</t>
  </si>
  <si>
    <t>Walid</t>
  </si>
  <si>
    <t>Hany</t>
  </si>
  <si>
    <t>Eslam</t>
  </si>
  <si>
    <t>Ibrahim</t>
  </si>
  <si>
    <t>Adel</t>
  </si>
  <si>
    <t>Essam</t>
  </si>
  <si>
    <t>Bassem</t>
  </si>
  <si>
    <t>Mina</t>
  </si>
  <si>
    <t>George</t>
  </si>
  <si>
    <t>Michael</t>
  </si>
  <si>
    <t>Peter</t>
  </si>
  <si>
    <t>Andrew</t>
  </si>
  <si>
    <t>John</t>
  </si>
  <si>
    <t>Mark</t>
  </si>
  <si>
    <t>Tony</t>
  </si>
  <si>
    <t>Fady</t>
  </si>
  <si>
    <t>Ramy</t>
  </si>
  <si>
    <t>Ashraf</t>
  </si>
  <si>
    <t>Emad</t>
  </si>
  <si>
    <t>Nader</t>
  </si>
  <si>
    <t>Wael</t>
  </si>
  <si>
    <t>Osama</t>
  </si>
  <si>
    <t>Said</t>
  </si>
  <si>
    <t>Yehia</t>
  </si>
  <si>
    <t>Zakaria</t>
  </si>
  <si>
    <t>Salah</t>
  </si>
  <si>
    <t>Reda</t>
  </si>
  <si>
    <t>Hatem</t>
  </si>
  <si>
    <t>Magdy</t>
  </si>
  <si>
    <t>Atef</t>
  </si>
  <si>
    <t>Fouad</t>
  </si>
  <si>
    <t>Galal</t>
  </si>
  <si>
    <t>Lotfy</t>
  </si>
  <si>
    <t>Abdelrahman</t>
  </si>
  <si>
    <t>Abdallah</t>
  </si>
  <si>
    <t>Abdelaziz</t>
  </si>
  <si>
    <t>Abdelhamed</t>
  </si>
  <si>
    <t>Abdelnasser</t>
  </si>
  <si>
    <t>Abdelghany</t>
  </si>
  <si>
    <t>Abdelkader</t>
  </si>
  <si>
    <t>Abdelrahim</t>
  </si>
  <si>
    <t>Abdelmoneim</t>
  </si>
  <si>
    <t>Abdelwahab</t>
  </si>
  <si>
    <t>Fatma</t>
  </si>
  <si>
    <t>Amina</t>
  </si>
  <si>
    <t>Mariam</t>
  </si>
  <si>
    <t>Sara</t>
  </si>
  <si>
    <t>Nour</t>
  </si>
  <si>
    <t>Aya</t>
  </si>
  <si>
    <t>Esraa</t>
  </si>
  <si>
    <t>Hoda</t>
  </si>
  <si>
    <t>Dina</t>
  </si>
  <si>
    <t>Menna</t>
  </si>
  <si>
    <t>Yasmin</t>
  </si>
  <si>
    <t>Salma</t>
  </si>
  <si>
    <t>Hanan</t>
  </si>
  <si>
    <t>Reem</t>
  </si>
  <si>
    <t>Noha</t>
  </si>
  <si>
    <t>Mai</t>
  </si>
  <si>
    <t>Nada</t>
  </si>
  <si>
    <t>Rana</t>
  </si>
  <si>
    <t>Heba</t>
  </si>
  <si>
    <t>Shimaa</t>
  </si>
  <si>
    <t>Riham</t>
  </si>
  <si>
    <t>Eman</t>
  </si>
  <si>
    <t>Asmaa</t>
  </si>
  <si>
    <t>Nesma</t>
  </si>
  <si>
    <t>Samar</t>
  </si>
  <si>
    <t>Soha</t>
  </si>
  <si>
    <t>Doaa</t>
  </si>
  <si>
    <t>Abeer</t>
  </si>
  <si>
    <t>Amira</t>
  </si>
  <si>
    <t>Ghada</t>
  </si>
  <si>
    <t>Manar</t>
  </si>
  <si>
    <t>Inas</t>
  </si>
  <si>
    <t>Lobna</t>
  </si>
  <si>
    <t>Mona</t>
  </si>
  <si>
    <t>Rasha</t>
  </si>
  <si>
    <t>Naglaa</t>
  </si>
  <si>
    <t>Shaimaa</t>
  </si>
  <si>
    <t>Hager</t>
  </si>
  <si>
    <t>Nahla</t>
  </si>
  <si>
    <t>Sondos</t>
  </si>
  <si>
    <t>Malak</t>
  </si>
  <si>
    <t>Farah</t>
  </si>
  <si>
    <t>Jana</t>
  </si>
  <si>
    <t>Rawan</t>
  </si>
  <si>
    <t>Ayaat</t>
  </si>
  <si>
    <t>Tasneem</t>
  </si>
  <si>
    <t>Marwa</t>
  </si>
  <si>
    <t>Rania</t>
  </si>
  <si>
    <t>Nermin</t>
  </si>
  <si>
    <t>Dalia</t>
  </si>
  <si>
    <t>Samah</t>
  </si>
  <si>
    <t>Walaa</t>
  </si>
  <si>
    <t>Yara</t>
  </si>
  <si>
    <t>Laila</t>
  </si>
  <si>
    <t>Hind</t>
  </si>
  <si>
    <t>Basma</t>
  </si>
  <si>
    <t>Bayan</t>
  </si>
  <si>
    <t>Hala</t>
  </si>
  <si>
    <t>Lamia</t>
  </si>
  <si>
    <t>Alaa</t>
  </si>
  <si>
    <t>Sawsan</t>
  </si>
  <si>
    <t>Nahed</t>
  </si>
  <si>
    <t>Hossam</t>
  </si>
  <si>
    <t>Kamal</t>
  </si>
  <si>
    <t>Refaat</t>
  </si>
  <si>
    <t>Department</t>
  </si>
  <si>
    <t>It</t>
  </si>
  <si>
    <t>sales</t>
  </si>
  <si>
    <t>marketing</t>
  </si>
  <si>
    <t xml:space="preserve">    Name</t>
  </si>
  <si>
    <t>Type 1</t>
  </si>
  <si>
    <t>Total</t>
  </si>
  <si>
    <t xml:space="preserve">    Bulbasaur</t>
  </si>
  <si>
    <t>Grass</t>
  </si>
  <si>
    <t>Total Sum</t>
  </si>
  <si>
    <t xml:space="preserve">    Ivysaur</t>
  </si>
  <si>
    <t xml:space="preserve">    Venusaur</t>
  </si>
  <si>
    <t>Fire</t>
  </si>
  <si>
    <t xml:space="preserve">    Charmander</t>
  </si>
  <si>
    <t>Water</t>
  </si>
  <si>
    <t xml:space="preserve">    Charmeleon</t>
  </si>
  <si>
    <t xml:space="preserve">    Charizard</t>
  </si>
  <si>
    <t xml:space="preserve">    Squirtle</t>
  </si>
  <si>
    <t xml:space="preserve">    Wartortle</t>
  </si>
  <si>
    <t xml:space="preserve">    Blastoise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</si>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</sst>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2" applyBorder="1" applyAlignment="1">
      <alignment horizontal="center"/>
    </xf>
    <xf numFmtId="2" fontId="3" fillId="2" borderId="2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2" fontId="1" fillId="0" borderId="1" xfId="2" applyNumberFormat="1" applyBorder="1" applyAlignment="1">
      <alignment horizontal="center"/>
    </xf>
    <xf numFmtId="165" fontId="0" fillId="0" borderId="1" xfId="6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1" xfId="2" applyNumberFormat="1" applyFont="1" applyBorder="1" applyAlignment="1">
      <alignment horizontal="center"/>
    </xf>
    <xf numFmtId="2" fontId="0" fillId="0" borderId="0" xfId="0" applyNumberFormat="1"/>
    <xf numFmtId="49" fontId="5" fillId="4" borderId="2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3" borderId="6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0" xfId="0" applyNumberFormat="1"/>
  </cellXfs>
  <cellStyles count="7">
    <cellStyle name="Comma 2" xfId="5" xr:uid="{D2BD2D00-8FC6-4BB9-8595-DE87AC3B2FBF}"/>
    <cellStyle name="Normal" xfId="0" builtinId="0"/>
    <cellStyle name="Normal 2 2" xfId="4" xr:uid="{2426AA4A-27DA-481A-A424-3E65F512D37B}"/>
    <cellStyle name="Normal 3 2" xfId="1" xr:uid="{3A0F2E36-CE00-43E0-8990-A60ED0A77C6B}"/>
    <cellStyle name="Normal 4 3" xfId="2" xr:uid="{C36C3591-80AC-434E-AD29-C99BCD12711E}"/>
    <cellStyle name="Percent" xfId="6" builtinId="5"/>
    <cellStyle name="Percent 2" xfId="3" xr:uid="{E7603C0F-9C02-4FE5-AF1C-742466BC2B4A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C58E9-7D10-467E-86AA-0BF8B9DD6F5E}" name="Table35" displayName="Table35" ref="A2:E127" totalsRowShown="0" headerRowDxfId="7" headerRowBorderDxfId="5" tableBorderDxfId="6" headerRowCellStyle="Normal 3 2">
  <autoFilter ref="A2:E127" xr:uid="{A19C58E9-7D10-467E-86AA-0BF8B9DD6F5E}"/>
  <tableColumns count="5">
    <tableColumn id="1" xr3:uid="{6DCF4D96-C671-47D4-82C1-C005FC02E86F}" name="Name" dataDxfId="0"/>
    <tableColumn id="4" xr3:uid="{3414FDE6-3385-4155-A00C-B41A7B53F9AE}" name="Target" dataDxfId="4" dataCellStyle="Normal 4 3">
      <calculatedColumnFormula>14681*1.5</calculatedColumnFormula>
    </tableColumn>
    <tableColumn id="5" xr3:uid="{D315631A-B886-4DBE-A5A4-C71CCB2623E1}" name="Actual" dataDxfId="3" dataCellStyle="Normal 4 3"/>
    <tableColumn id="6" xr3:uid="{921EDCEF-F560-445F-AA2E-CFE864CD5328}" name="Department" dataDxfId="2" dataCellStyle="Percent"/>
    <tableColumn id="7" xr3:uid="{477D2990-55F1-4B4E-8AA4-0E26CCE1C876}" name="Salar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9AF513-E218-4F29-B148-6645A6CD53BD}" name="Table2" displayName="Table2" ref="A1:C10" totalsRowShown="0">
  <autoFilter ref="A1:C10" xr:uid="{059AF513-E218-4F29-B148-6645A6CD53BD}"/>
  <tableColumns count="3">
    <tableColumn id="1" xr3:uid="{9FE6CC8D-74EF-4391-AA4D-80D36F1B3683}" name="    Name"/>
    <tableColumn id="2" xr3:uid="{D929769E-C71D-4E3C-BC5D-0A7114EC2FE1}" name="Type 1"/>
    <tableColumn id="3" xr3:uid="{304908F1-6BD7-4F22-8CF2-BA3AC960357E}" name="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802EA9-6B34-406B-B2F5-BF91F660B842}" name="Table3" displayName="Table3" ref="E2:F5" totalsRowShown="0">
  <autoFilter ref="E2:F5" xr:uid="{EF802EA9-6B34-406B-B2F5-BF91F660B842}"/>
  <tableColumns count="2">
    <tableColumn id="1" xr3:uid="{CAE44F96-1B9C-42CD-8E7E-7C945C84E2DB}" name="Type"/>
    <tableColumn id="2" xr3:uid="{0846CA01-93DB-4FA4-9B4B-5DDDC475531E}" name="Total 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7791-6E9D-4DB9-9962-1FC1692EBA62}">
  <dimension ref="A2:E182"/>
  <sheetViews>
    <sheetView workbookViewId="0">
      <selection activeCell="J19" sqref="J19"/>
    </sheetView>
  </sheetViews>
  <sheetFormatPr defaultRowHeight="14.4" x14ac:dyDescent="0.3"/>
  <cols>
    <col min="1" max="1" width="14.109375" style="15" customWidth="1"/>
    <col min="2" max="2" width="13" style="9" customWidth="1"/>
    <col min="3" max="3" width="13.109375" customWidth="1"/>
    <col min="4" max="4" width="22" bestFit="1" customWidth="1"/>
    <col min="5" max="5" width="18" bestFit="1" customWidth="1"/>
  </cols>
  <sheetData>
    <row r="2" spans="1:5" x14ac:dyDescent="0.3">
      <c r="A2" s="10" t="s">
        <v>3</v>
      </c>
      <c r="B2" s="2" t="s">
        <v>0</v>
      </c>
      <c r="C2" s="3" t="s">
        <v>1</v>
      </c>
      <c r="D2" s="3" t="s">
        <v>131</v>
      </c>
      <c r="E2" s="4" t="s">
        <v>4</v>
      </c>
    </row>
    <row r="3" spans="1:5" x14ac:dyDescent="0.3">
      <c r="A3" s="11" t="s">
        <v>6</v>
      </c>
      <c r="B3" s="5">
        <f t="shared" ref="B3:C34" si="0">14681*1.5</f>
        <v>22021.5</v>
      </c>
      <c r="C3" s="5">
        <f>SUM(Table35[[#This Row],[Target]])</f>
        <v>22021.5</v>
      </c>
      <c r="D3" s="6" t="s">
        <v>132</v>
      </c>
      <c r="E3" s="7">
        <v>5000</v>
      </c>
    </row>
    <row r="4" spans="1:5" x14ac:dyDescent="0.3">
      <c r="A4" s="12" t="s">
        <v>7</v>
      </c>
      <c r="B4" s="5">
        <f t="shared" si="0"/>
        <v>22021.5</v>
      </c>
      <c r="C4" s="8">
        <f>22021.5*2.5</f>
        <v>55053.75</v>
      </c>
      <c r="D4" s="6" t="s">
        <v>132</v>
      </c>
      <c r="E4" s="7">
        <v>5000</v>
      </c>
    </row>
    <row r="5" spans="1:5" x14ac:dyDescent="0.3">
      <c r="A5" s="11" t="s">
        <v>8</v>
      </c>
      <c r="B5" s="5">
        <f t="shared" si="0"/>
        <v>22021.5</v>
      </c>
      <c r="C5" s="1">
        <v>17600</v>
      </c>
      <c r="D5" s="6" t="s">
        <v>132</v>
      </c>
      <c r="E5" s="7">
        <v>5000</v>
      </c>
    </row>
    <row r="6" spans="1:5" x14ac:dyDescent="0.3">
      <c r="A6" s="12" t="s">
        <v>9</v>
      </c>
      <c r="B6" s="5">
        <f t="shared" si="0"/>
        <v>22021.5</v>
      </c>
      <c r="C6" s="1">
        <v>3016</v>
      </c>
      <c r="D6" s="6" t="s">
        <v>132</v>
      </c>
      <c r="E6" s="7">
        <v>5000</v>
      </c>
    </row>
    <row r="7" spans="1:5" x14ac:dyDescent="0.3">
      <c r="A7" s="11" t="s">
        <v>10</v>
      </c>
      <c r="B7" s="5">
        <f t="shared" si="0"/>
        <v>22021.5</v>
      </c>
      <c r="C7" s="1">
        <v>14686</v>
      </c>
      <c r="D7" s="6" t="s">
        <v>132</v>
      </c>
      <c r="E7" s="7">
        <v>5000</v>
      </c>
    </row>
    <row r="8" spans="1:5" x14ac:dyDescent="0.3">
      <c r="A8" s="12" t="s">
        <v>11</v>
      </c>
      <c r="B8" s="5">
        <f t="shared" si="0"/>
        <v>22021.5</v>
      </c>
      <c r="C8" s="8">
        <f>22021.5*2.5</f>
        <v>55053.75</v>
      </c>
      <c r="D8" s="6" t="s">
        <v>132</v>
      </c>
      <c r="E8" s="7">
        <v>5000</v>
      </c>
    </row>
    <row r="9" spans="1:5" x14ac:dyDescent="0.3">
      <c r="A9" s="11" t="s">
        <v>12</v>
      </c>
      <c r="B9" s="5">
        <f t="shared" si="0"/>
        <v>22021.5</v>
      </c>
      <c r="C9" s="1">
        <v>18370</v>
      </c>
      <c r="D9" s="6" t="s">
        <v>132</v>
      </c>
      <c r="E9" s="7">
        <v>5000</v>
      </c>
    </row>
    <row r="10" spans="1:5" x14ac:dyDescent="0.3">
      <c r="A10" s="12" t="s">
        <v>13</v>
      </c>
      <c r="B10" s="5">
        <f t="shared" si="0"/>
        <v>22021.5</v>
      </c>
      <c r="C10" s="8">
        <f>22021.5*2.5</f>
        <v>55053.75</v>
      </c>
      <c r="D10" s="6" t="s">
        <v>132</v>
      </c>
      <c r="E10" s="7">
        <v>5000</v>
      </c>
    </row>
    <row r="11" spans="1:5" x14ac:dyDescent="0.3">
      <c r="A11" s="11" t="s">
        <v>14</v>
      </c>
      <c r="B11" s="5">
        <f t="shared" si="0"/>
        <v>22021.5</v>
      </c>
      <c r="C11" s="1">
        <v>10531</v>
      </c>
      <c r="D11" s="6" t="s">
        <v>132</v>
      </c>
      <c r="E11" s="7">
        <v>5000</v>
      </c>
    </row>
    <row r="12" spans="1:5" x14ac:dyDescent="0.3">
      <c r="A12" s="12" t="s">
        <v>15</v>
      </c>
      <c r="B12" s="5">
        <f t="shared" si="0"/>
        <v>22021.5</v>
      </c>
      <c r="C12" s="8">
        <f>22021.5*2.5</f>
        <v>55053.75</v>
      </c>
      <c r="D12" s="6" t="s">
        <v>132</v>
      </c>
      <c r="E12" s="7">
        <v>5000</v>
      </c>
    </row>
    <row r="13" spans="1:5" x14ac:dyDescent="0.3">
      <c r="A13" s="11" t="s">
        <v>16</v>
      </c>
      <c r="B13" s="5">
        <f t="shared" si="0"/>
        <v>22021.5</v>
      </c>
      <c r="C13" s="5">
        <f t="shared" si="0"/>
        <v>22021.5</v>
      </c>
      <c r="D13" s="6" t="s">
        <v>132</v>
      </c>
      <c r="E13" s="7">
        <v>5000</v>
      </c>
    </row>
    <row r="14" spans="1:5" x14ac:dyDescent="0.3">
      <c r="A14" s="12" t="s">
        <v>17</v>
      </c>
      <c r="B14" s="5">
        <f t="shared" si="0"/>
        <v>22021.5</v>
      </c>
      <c r="C14" s="1">
        <v>11503</v>
      </c>
      <c r="D14" s="6" t="s">
        <v>132</v>
      </c>
      <c r="E14" s="7">
        <v>5000</v>
      </c>
    </row>
    <row r="15" spans="1:5" x14ac:dyDescent="0.3">
      <c r="A15" s="11" t="s">
        <v>18</v>
      </c>
      <c r="B15" s="5">
        <f t="shared" si="0"/>
        <v>22021.5</v>
      </c>
      <c r="C15" s="8">
        <f>22021.5*2.5</f>
        <v>55053.75</v>
      </c>
      <c r="D15" s="6" t="s">
        <v>132</v>
      </c>
      <c r="E15" s="7">
        <v>5000</v>
      </c>
    </row>
    <row r="16" spans="1:5" x14ac:dyDescent="0.3">
      <c r="A16" s="12" t="s">
        <v>19</v>
      </c>
      <c r="B16" s="5">
        <f t="shared" si="0"/>
        <v>22021.5</v>
      </c>
      <c r="C16" s="5">
        <f t="shared" si="0"/>
        <v>22021.5</v>
      </c>
      <c r="D16" s="6" t="s">
        <v>132</v>
      </c>
      <c r="E16" s="7">
        <v>5000</v>
      </c>
    </row>
    <row r="17" spans="1:5" x14ac:dyDescent="0.3">
      <c r="A17" s="11" t="s">
        <v>20</v>
      </c>
      <c r="B17" s="5">
        <f t="shared" si="0"/>
        <v>22021.5</v>
      </c>
      <c r="C17" s="1">
        <v>10931</v>
      </c>
      <c r="D17" s="6" t="s">
        <v>132</v>
      </c>
      <c r="E17" s="7">
        <v>5000</v>
      </c>
    </row>
    <row r="18" spans="1:5" x14ac:dyDescent="0.3">
      <c r="A18" s="12" t="s">
        <v>21</v>
      </c>
      <c r="B18" s="5">
        <f t="shared" si="0"/>
        <v>22021.5</v>
      </c>
      <c r="C18" s="1">
        <v>19598</v>
      </c>
      <c r="D18" s="6" t="s">
        <v>132</v>
      </c>
      <c r="E18" s="7">
        <v>5000</v>
      </c>
    </row>
    <row r="19" spans="1:5" x14ac:dyDescent="0.3">
      <c r="A19" s="11" t="s">
        <v>22</v>
      </c>
      <c r="B19" s="5">
        <f t="shared" si="0"/>
        <v>22021.5</v>
      </c>
      <c r="C19" s="8">
        <f>22021.5*2.5</f>
        <v>55053.75</v>
      </c>
      <c r="D19" s="6" t="s">
        <v>132</v>
      </c>
      <c r="E19" s="7">
        <v>8952</v>
      </c>
    </row>
    <row r="20" spans="1:5" x14ac:dyDescent="0.3">
      <c r="A20" s="12" t="s">
        <v>23</v>
      </c>
      <c r="B20" s="5">
        <f t="shared" si="0"/>
        <v>22021.5</v>
      </c>
      <c r="C20" s="1">
        <v>14882</v>
      </c>
      <c r="D20" s="6" t="s">
        <v>132</v>
      </c>
      <c r="E20" s="7">
        <v>8952</v>
      </c>
    </row>
    <row r="21" spans="1:5" x14ac:dyDescent="0.3">
      <c r="A21" s="11" t="s">
        <v>24</v>
      </c>
      <c r="B21" s="5">
        <f t="shared" si="0"/>
        <v>22021.5</v>
      </c>
      <c r="C21" s="1">
        <v>7813</v>
      </c>
      <c r="D21" s="6" t="s">
        <v>132</v>
      </c>
      <c r="E21" s="7">
        <v>8952</v>
      </c>
    </row>
    <row r="22" spans="1:5" x14ac:dyDescent="0.3">
      <c r="A22" s="12" t="s">
        <v>25</v>
      </c>
      <c r="B22" s="5">
        <f t="shared" si="0"/>
        <v>22021.5</v>
      </c>
      <c r="C22" s="8">
        <f>22021.5*2.5</f>
        <v>55053.75</v>
      </c>
      <c r="D22" s="6" t="s">
        <v>132</v>
      </c>
      <c r="E22" s="7">
        <v>8952</v>
      </c>
    </row>
    <row r="23" spans="1:5" x14ac:dyDescent="0.3">
      <c r="A23" s="11" t="s">
        <v>26</v>
      </c>
      <c r="B23" s="5">
        <f t="shared" si="0"/>
        <v>22021.5</v>
      </c>
      <c r="C23" s="1">
        <v>6762</v>
      </c>
      <c r="D23" s="6" t="s">
        <v>132</v>
      </c>
      <c r="E23" s="7">
        <v>8952</v>
      </c>
    </row>
    <row r="24" spans="1:5" x14ac:dyDescent="0.3">
      <c r="A24" s="12" t="s">
        <v>27</v>
      </c>
      <c r="B24" s="5">
        <f t="shared" si="0"/>
        <v>22021.5</v>
      </c>
      <c r="C24" s="1">
        <v>7710</v>
      </c>
      <c r="D24" s="6" t="s">
        <v>132</v>
      </c>
      <c r="E24" s="7">
        <v>8952</v>
      </c>
    </row>
    <row r="25" spans="1:5" x14ac:dyDescent="0.3">
      <c r="A25" s="11" t="s">
        <v>28</v>
      </c>
      <c r="B25" s="5">
        <f t="shared" si="0"/>
        <v>22021.5</v>
      </c>
      <c r="C25" s="1">
        <v>8722</v>
      </c>
      <c r="D25" s="6" t="s">
        <v>132</v>
      </c>
      <c r="E25" s="7">
        <v>8952</v>
      </c>
    </row>
    <row r="26" spans="1:5" x14ac:dyDescent="0.3">
      <c r="A26" s="12" t="s">
        <v>29</v>
      </c>
      <c r="B26" s="5">
        <f t="shared" si="0"/>
        <v>22021.5</v>
      </c>
      <c r="C26" s="8">
        <f>22021.5*2.5</f>
        <v>55053.75</v>
      </c>
      <c r="D26" s="6" t="s">
        <v>132</v>
      </c>
      <c r="E26" s="7">
        <v>8952</v>
      </c>
    </row>
    <row r="27" spans="1:5" x14ac:dyDescent="0.3">
      <c r="A27" s="11" t="s">
        <v>30</v>
      </c>
      <c r="B27" s="5">
        <f t="shared" si="0"/>
        <v>22021.5</v>
      </c>
      <c r="C27" s="1">
        <v>12840</v>
      </c>
      <c r="D27" s="6" t="s">
        <v>132</v>
      </c>
      <c r="E27" s="7">
        <v>8952</v>
      </c>
    </row>
    <row r="28" spans="1:5" x14ac:dyDescent="0.3">
      <c r="A28" s="12" t="s">
        <v>31</v>
      </c>
      <c r="B28" s="5">
        <f t="shared" si="0"/>
        <v>22021.5</v>
      </c>
      <c r="C28" s="5">
        <f t="shared" si="0"/>
        <v>22021.5</v>
      </c>
      <c r="D28" s="6" t="s">
        <v>133</v>
      </c>
      <c r="E28" s="7">
        <v>8952</v>
      </c>
    </row>
    <row r="29" spans="1:5" x14ac:dyDescent="0.3">
      <c r="A29" s="11" t="s">
        <v>32</v>
      </c>
      <c r="B29" s="5">
        <f t="shared" si="0"/>
        <v>22021.5</v>
      </c>
      <c r="C29" s="1">
        <v>18525</v>
      </c>
      <c r="D29" s="6" t="s">
        <v>133</v>
      </c>
      <c r="E29" s="7">
        <v>8952</v>
      </c>
    </row>
    <row r="30" spans="1:5" x14ac:dyDescent="0.3">
      <c r="A30" s="12" t="s">
        <v>33</v>
      </c>
      <c r="B30" s="5">
        <f t="shared" si="0"/>
        <v>22021.5</v>
      </c>
      <c r="C30" s="1">
        <v>3783</v>
      </c>
      <c r="D30" s="6" t="s">
        <v>133</v>
      </c>
      <c r="E30" s="7">
        <v>10000</v>
      </c>
    </row>
    <row r="31" spans="1:5" x14ac:dyDescent="0.3">
      <c r="A31" s="11" t="s">
        <v>34</v>
      </c>
      <c r="B31" s="5">
        <f t="shared" si="0"/>
        <v>22021.5</v>
      </c>
      <c r="C31" s="1">
        <v>19753</v>
      </c>
      <c r="D31" s="6" t="s">
        <v>133</v>
      </c>
      <c r="E31" s="7">
        <v>10000</v>
      </c>
    </row>
    <row r="32" spans="1:5" x14ac:dyDescent="0.3">
      <c r="A32" s="12" t="s">
        <v>35</v>
      </c>
      <c r="B32" s="5">
        <f t="shared" si="0"/>
        <v>22021.5</v>
      </c>
      <c r="C32" s="8">
        <f>22021.5*2.5</f>
        <v>55053.75</v>
      </c>
      <c r="D32" s="6" t="s">
        <v>133</v>
      </c>
      <c r="E32" s="7">
        <v>10000</v>
      </c>
    </row>
    <row r="33" spans="1:5" x14ac:dyDescent="0.3">
      <c r="A33" s="11" t="s">
        <v>36</v>
      </c>
      <c r="B33" s="5">
        <f t="shared" si="0"/>
        <v>22021.5</v>
      </c>
      <c r="C33" s="1">
        <v>19479</v>
      </c>
      <c r="D33" s="6" t="s">
        <v>133</v>
      </c>
      <c r="E33" s="7">
        <v>10000</v>
      </c>
    </row>
    <row r="34" spans="1:5" x14ac:dyDescent="0.3">
      <c r="A34" s="12" t="s">
        <v>37</v>
      </c>
      <c r="B34" s="5">
        <f t="shared" si="0"/>
        <v>22021.5</v>
      </c>
      <c r="C34" s="1">
        <v>1444</v>
      </c>
      <c r="D34" s="6" t="s">
        <v>133</v>
      </c>
      <c r="E34" s="7">
        <v>10000</v>
      </c>
    </row>
    <row r="35" spans="1:5" x14ac:dyDescent="0.3">
      <c r="A35" s="11" t="s">
        <v>38</v>
      </c>
      <c r="B35" s="5">
        <f t="shared" ref="B35:C66" si="1">14681*1.5</f>
        <v>22021.5</v>
      </c>
      <c r="C35" s="8">
        <f>22021.5*2.5</f>
        <v>55053.75</v>
      </c>
      <c r="D35" s="6" t="s">
        <v>133</v>
      </c>
      <c r="E35" s="7">
        <v>10000</v>
      </c>
    </row>
    <row r="36" spans="1:5" x14ac:dyDescent="0.3">
      <c r="A36" s="12" t="s">
        <v>39</v>
      </c>
      <c r="B36" s="5">
        <f t="shared" si="1"/>
        <v>22021.5</v>
      </c>
      <c r="C36" s="1">
        <v>10900</v>
      </c>
      <c r="D36" s="6" t="s">
        <v>133</v>
      </c>
      <c r="E36" s="7">
        <v>10000</v>
      </c>
    </row>
    <row r="37" spans="1:5" x14ac:dyDescent="0.3">
      <c r="A37" s="11" t="s">
        <v>40</v>
      </c>
      <c r="B37" s="5">
        <f t="shared" si="1"/>
        <v>22021.5</v>
      </c>
      <c r="C37" s="5">
        <f t="shared" si="1"/>
        <v>22021.5</v>
      </c>
      <c r="D37" s="6" t="s">
        <v>133</v>
      </c>
      <c r="E37" s="7">
        <v>10000</v>
      </c>
    </row>
    <row r="38" spans="1:5" x14ac:dyDescent="0.3">
      <c r="A38" s="12" t="s">
        <v>41</v>
      </c>
      <c r="B38" s="5">
        <f t="shared" si="1"/>
        <v>22021.5</v>
      </c>
      <c r="C38" s="1">
        <v>19249</v>
      </c>
      <c r="D38" s="6" t="s">
        <v>133</v>
      </c>
      <c r="E38" s="7">
        <v>10000</v>
      </c>
    </row>
    <row r="39" spans="1:5" x14ac:dyDescent="0.3">
      <c r="A39" s="11" t="s">
        <v>42</v>
      </c>
      <c r="B39" s="5">
        <f t="shared" si="1"/>
        <v>22021.5</v>
      </c>
      <c r="C39" s="1">
        <v>1415</v>
      </c>
      <c r="D39" s="6" t="s">
        <v>133</v>
      </c>
      <c r="E39" s="7">
        <v>10000</v>
      </c>
    </row>
    <row r="40" spans="1:5" x14ac:dyDescent="0.3">
      <c r="A40" s="12" t="s">
        <v>43</v>
      </c>
      <c r="B40" s="5">
        <f t="shared" si="1"/>
        <v>22021.5</v>
      </c>
      <c r="C40" s="1">
        <v>13543</v>
      </c>
      <c r="D40" s="6" t="s">
        <v>133</v>
      </c>
      <c r="E40" s="7">
        <v>10000</v>
      </c>
    </row>
    <row r="41" spans="1:5" x14ac:dyDescent="0.3">
      <c r="A41" s="11" t="s">
        <v>44</v>
      </c>
      <c r="B41" s="5">
        <f t="shared" si="1"/>
        <v>22021.5</v>
      </c>
      <c r="C41" s="8">
        <f>22021.5*2.5</f>
        <v>55053.75</v>
      </c>
      <c r="D41" s="6" t="s">
        <v>133</v>
      </c>
      <c r="E41" s="7">
        <v>10000</v>
      </c>
    </row>
    <row r="42" spans="1:5" x14ac:dyDescent="0.3">
      <c r="A42" s="12" t="s">
        <v>45</v>
      </c>
      <c r="B42" s="5">
        <f t="shared" si="1"/>
        <v>22021.5</v>
      </c>
      <c r="C42" s="1">
        <v>16249</v>
      </c>
      <c r="D42" s="6" t="s">
        <v>133</v>
      </c>
      <c r="E42" s="7">
        <v>10000</v>
      </c>
    </row>
    <row r="43" spans="1:5" x14ac:dyDescent="0.3">
      <c r="A43" s="11" t="s">
        <v>46</v>
      </c>
      <c r="B43" s="5">
        <f t="shared" si="1"/>
        <v>22021.5</v>
      </c>
      <c r="C43" s="1">
        <v>8481</v>
      </c>
      <c r="D43" s="6" t="s">
        <v>133</v>
      </c>
      <c r="E43" s="7">
        <v>10000</v>
      </c>
    </row>
    <row r="44" spans="1:5" x14ac:dyDescent="0.3">
      <c r="A44" s="12" t="s">
        <v>47</v>
      </c>
      <c r="B44" s="5">
        <f t="shared" si="1"/>
        <v>22021.5</v>
      </c>
      <c r="C44" s="1">
        <v>18370</v>
      </c>
      <c r="D44" s="6" t="s">
        <v>133</v>
      </c>
      <c r="E44" s="7">
        <v>10000</v>
      </c>
    </row>
    <row r="45" spans="1:5" x14ac:dyDescent="0.3">
      <c r="A45" s="11" t="s">
        <v>48</v>
      </c>
      <c r="B45" s="5">
        <f t="shared" si="1"/>
        <v>22021.5</v>
      </c>
      <c r="C45" s="1">
        <v>8540</v>
      </c>
      <c r="D45" s="6" t="s">
        <v>133</v>
      </c>
      <c r="E45" s="7">
        <v>10000</v>
      </c>
    </row>
    <row r="46" spans="1:5" x14ac:dyDescent="0.3">
      <c r="A46" s="12" t="s">
        <v>49</v>
      </c>
      <c r="B46" s="5">
        <f t="shared" si="1"/>
        <v>22021.5</v>
      </c>
      <c r="C46" s="1">
        <v>12821</v>
      </c>
      <c r="D46" s="6" t="s">
        <v>133</v>
      </c>
      <c r="E46" s="7">
        <v>10000</v>
      </c>
    </row>
    <row r="47" spans="1:5" x14ac:dyDescent="0.3">
      <c r="A47" s="11" t="s">
        <v>50</v>
      </c>
      <c r="B47" s="5">
        <f t="shared" si="1"/>
        <v>22021.5</v>
      </c>
      <c r="C47" s="1">
        <v>3659</v>
      </c>
      <c r="D47" s="6" t="s">
        <v>133</v>
      </c>
      <c r="E47" s="7">
        <v>10000</v>
      </c>
    </row>
    <row r="48" spans="1:5" x14ac:dyDescent="0.3">
      <c r="A48" s="12" t="s">
        <v>51</v>
      </c>
      <c r="B48" s="5">
        <f t="shared" si="1"/>
        <v>22021.5</v>
      </c>
      <c r="C48" s="8">
        <f>22021.5*2.5</f>
        <v>55053.75</v>
      </c>
      <c r="D48" s="6" t="s">
        <v>133</v>
      </c>
      <c r="E48" s="7">
        <v>10000</v>
      </c>
    </row>
    <row r="49" spans="1:5" x14ac:dyDescent="0.3">
      <c r="A49" s="11" t="s">
        <v>52</v>
      </c>
      <c r="B49" s="5">
        <f t="shared" si="1"/>
        <v>22021.5</v>
      </c>
      <c r="C49" s="1">
        <v>20382</v>
      </c>
      <c r="D49" s="6" t="s">
        <v>133</v>
      </c>
      <c r="E49" s="7">
        <v>10000</v>
      </c>
    </row>
    <row r="50" spans="1:5" x14ac:dyDescent="0.3">
      <c r="A50" s="12" t="s">
        <v>53</v>
      </c>
      <c r="B50" s="5">
        <f t="shared" si="1"/>
        <v>22021.5</v>
      </c>
      <c r="C50" s="1">
        <v>2981</v>
      </c>
      <c r="D50" s="6" t="s">
        <v>133</v>
      </c>
      <c r="E50" s="7">
        <v>10000</v>
      </c>
    </row>
    <row r="51" spans="1:5" x14ac:dyDescent="0.3">
      <c r="A51" s="11" t="s">
        <v>54</v>
      </c>
      <c r="B51" s="5">
        <f t="shared" si="1"/>
        <v>22021.5</v>
      </c>
      <c r="C51" s="5">
        <f t="shared" si="1"/>
        <v>22021.5</v>
      </c>
      <c r="D51" s="6" t="s">
        <v>133</v>
      </c>
      <c r="E51" s="7">
        <v>10000</v>
      </c>
    </row>
    <row r="52" spans="1:5" x14ac:dyDescent="0.3">
      <c r="A52" s="12" t="s">
        <v>55</v>
      </c>
      <c r="B52" s="5">
        <f t="shared" si="1"/>
        <v>22021.5</v>
      </c>
      <c r="C52" s="1">
        <v>3966</v>
      </c>
      <c r="D52" s="6" t="s">
        <v>133</v>
      </c>
      <c r="E52" s="7">
        <v>10000</v>
      </c>
    </row>
    <row r="53" spans="1:5" x14ac:dyDescent="0.3">
      <c r="A53" s="11" t="s">
        <v>56</v>
      </c>
      <c r="B53" s="5">
        <f t="shared" si="1"/>
        <v>22021.5</v>
      </c>
      <c r="C53" s="1">
        <v>3522</v>
      </c>
      <c r="D53" s="6" t="s">
        <v>133</v>
      </c>
      <c r="E53" s="7">
        <v>10000</v>
      </c>
    </row>
    <row r="54" spans="1:5" x14ac:dyDescent="0.3">
      <c r="A54" s="12" t="s">
        <v>57</v>
      </c>
      <c r="B54" s="5">
        <f t="shared" si="1"/>
        <v>22021.5</v>
      </c>
      <c r="C54" s="1">
        <v>3522</v>
      </c>
      <c r="D54" s="6" t="s">
        <v>133</v>
      </c>
      <c r="E54" s="7">
        <v>10000</v>
      </c>
    </row>
    <row r="55" spans="1:5" x14ac:dyDescent="0.3">
      <c r="A55" s="11" t="s">
        <v>58</v>
      </c>
      <c r="B55" s="5">
        <f t="shared" si="1"/>
        <v>22021.5</v>
      </c>
      <c r="C55" s="1">
        <v>18438</v>
      </c>
      <c r="D55" s="6" t="s">
        <v>133</v>
      </c>
      <c r="E55" s="7">
        <v>10000</v>
      </c>
    </row>
    <row r="56" spans="1:5" x14ac:dyDescent="0.3">
      <c r="A56" s="12" t="s">
        <v>59</v>
      </c>
      <c r="B56" s="5">
        <f t="shared" si="1"/>
        <v>22021.5</v>
      </c>
      <c r="C56" s="1">
        <v>18457</v>
      </c>
      <c r="D56" s="6" t="s">
        <v>133</v>
      </c>
      <c r="E56" s="7">
        <v>10000</v>
      </c>
    </row>
    <row r="57" spans="1:5" x14ac:dyDescent="0.3">
      <c r="A57" s="11" t="s">
        <v>60</v>
      </c>
      <c r="B57" s="5">
        <f t="shared" si="1"/>
        <v>22021.5</v>
      </c>
      <c r="C57" s="1">
        <v>17922</v>
      </c>
      <c r="D57" s="6" t="s">
        <v>133</v>
      </c>
      <c r="E57" s="7">
        <v>10000</v>
      </c>
    </row>
    <row r="58" spans="1:5" x14ac:dyDescent="0.3">
      <c r="A58" s="12" t="s">
        <v>61</v>
      </c>
      <c r="B58" s="5">
        <f t="shared" si="1"/>
        <v>22021.5</v>
      </c>
      <c r="C58" s="1">
        <v>1558</v>
      </c>
      <c r="D58" s="6" t="s">
        <v>133</v>
      </c>
      <c r="E58" s="7">
        <v>10000</v>
      </c>
    </row>
    <row r="59" spans="1:5" x14ac:dyDescent="0.3">
      <c r="A59" s="11" t="s">
        <v>62</v>
      </c>
      <c r="B59" s="5">
        <f t="shared" si="1"/>
        <v>22021.5</v>
      </c>
      <c r="C59" s="1">
        <v>5243</v>
      </c>
      <c r="D59" s="6" t="s">
        <v>133</v>
      </c>
      <c r="E59" s="7">
        <v>10000</v>
      </c>
    </row>
    <row r="60" spans="1:5" x14ac:dyDescent="0.3">
      <c r="A60" s="12" t="s">
        <v>63</v>
      </c>
      <c r="B60" s="5">
        <f t="shared" si="1"/>
        <v>22021.5</v>
      </c>
      <c r="C60" s="1">
        <v>18776</v>
      </c>
      <c r="D60" s="6" t="s">
        <v>133</v>
      </c>
      <c r="E60" s="7">
        <v>10000</v>
      </c>
    </row>
    <row r="61" spans="1:5" x14ac:dyDescent="0.3">
      <c r="A61" s="11" t="s">
        <v>64</v>
      </c>
      <c r="B61" s="5">
        <f t="shared" si="1"/>
        <v>22021.5</v>
      </c>
      <c r="C61" s="1">
        <v>4493</v>
      </c>
      <c r="D61" s="6" t="s">
        <v>134</v>
      </c>
      <c r="E61" s="7">
        <v>10000</v>
      </c>
    </row>
    <row r="62" spans="1:5" x14ac:dyDescent="0.3">
      <c r="A62" s="12" t="s">
        <v>65</v>
      </c>
      <c r="B62" s="5">
        <f t="shared" si="1"/>
        <v>22021.5</v>
      </c>
      <c r="C62" s="5">
        <f t="shared" si="1"/>
        <v>22021.5</v>
      </c>
      <c r="D62" s="6" t="s">
        <v>134</v>
      </c>
      <c r="E62" s="7">
        <v>10000</v>
      </c>
    </row>
    <row r="63" spans="1:5" x14ac:dyDescent="0.3">
      <c r="A63" s="11" t="s">
        <v>66</v>
      </c>
      <c r="B63" s="5">
        <f t="shared" si="1"/>
        <v>22021.5</v>
      </c>
      <c r="C63" s="1">
        <v>12972</v>
      </c>
      <c r="D63" s="6" t="s">
        <v>134</v>
      </c>
      <c r="E63" s="7">
        <v>10000</v>
      </c>
    </row>
    <row r="64" spans="1:5" x14ac:dyDescent="0.3">
      <c r="A64" s="12" t="s">
        <v>67</v>
      </c>
      <c r="B64" s="5">
        <f t="shared" si="1"/>
        <v>22021.5</v>
      </c>
      <c r="C64" s="1">
        <v>10925</v>
      </c>
      <c r="D64" s="6" t="s">
        <v>134</v>
      </c>
      <c r="E64" s="7">
        <v>10000</v>
      </c>
    </row>
    <row r="65" spans="1:5" x14ac:dyDescent="0.3">
      <c r="A65" s="11" t="s">
        <v>68</v>
      </c>
      <c r="B65" s="5">
        <f t="shared" si="1"/>
        <v>22021.5</v>
      </c>
      <c r="C65" s="1">
        <v>11911</v>
      </c>
      <c r="D65" s="6" t="s">
        <v>134</v>
      </c>
      <c r="E65" s="7">
        <v>10000</v>
      </c>
    </row>
    <row r="66" spans="1:5" x14ac:dyDescent="0.3">
      <c r="A66" s="12" t="s">
        <v>69</v>
      </c>
      <c r="B66" s="5">
        <f t="shared" si="1"/>
        <v>22021.5</v>
      </c>
      <c r="C66" s="1">
        <v>18828</v>
      </c>
      <c r="D66" s="6" t="s">
        <v>134</v>
      </c>
      <c r="E66" s="7">
        <v>10000</v>
      </c>
    </row>
    <row r="67" spans="1:5" x14ac:dyDescent="0.3">
      <c r="A67" s="11" t="s">
        <v>70</v>
      </c>
      <c r="B67" s="5">
        <f t="shared" ref="B67:B127" si="2">14681*1.5</f>
        <v>22021.5</v>
      </c>
      <c r="C67" s="8">
        <f>22021.5*2.5</f>
        <v>55053.75</v>
      </c>
      <c r="D67" s="6" t="s">
        <v>134</v>
      </c>
      <c r="E67" s="7">
        <v>10000</v>
      </c>
    </row>
    <row r="68" spans="1:5" x14ac:dyDescent="0.3">
      <c r="A68" s="12" t="s">
        <v>71</v>
      </c>
      <c r="B68" s="5">
        <f t="shared" si="2"/>
        <v>22021.5</v>
      </c>
      <c r="C68" s="1">
        <v>17870</v>
      </c>
      <c r="D68" s="6" t="s">
        <v>134</v>
      </c>
      <c r="E68" s="7">
        <v>10000</v>
      </c>
    </row>
    <row r="69" spans="1:5" x14ac:dyDescent="0.3">
      <c r="A69" s="11" t="s">
        <v>72</v>
      </c>
      <c r="B69" s="5">
        <f t="shared" si="2"/>
        <v>22021.5</v>
      </c>
      <c r="C69" s="1">
        <v>17454</v>
      </c>
      <c r="D69" s="6" t="s">
        <v>134</v>
      </c>
      <c r="E69" s="7">
        <v>10000</v>
      </c>
    </row>
    <row r="70" spans="1:5" x14ac:dyDescent="0.3">
      <c r="A70" s="12" t="s">
        <v>73</v>
      </c>
      <c r="B70" s="5">
        <f t="shared" si="2"/>
        <v>22021.5</v>
      </c>
      <c r="C70" s="1">
        <v>2869</v>
      </c>
      <c r="D70" s="6" t="s">
        <v>134</v>
      </c>
      <c r="E70" s="7">
        <v>10000</v>
      </c>
    </row>
    <row r="71" spans="1:5" x14ac:dyDescent="0.3">
      <c r="A71" s="11" t="s">
        <v>74</v>
      </c>
      <c r="B71" s="5">
        <f t="shared" si="2"/>
        <v>22021.5</v>
      </c>
      <c r="C71" s="1">
        <v>10634</v>
      </c>
      <c r="D71" s="6" t="s">
        <v>134</v>
      </c>
      <c r="E71" s="7">
        <v>10000</v>
      </c>
    </row>
    <row r="72" spans="1:5" x14ac:dyDescent="0.3">
      <c r="A72" s="12" t="s">
        <v>75</v>
      </c>
      <c r="B72" s="5">
        <f t="shared" si="2"/>
        <v>22021.5</v>
      </c>
      <c r="C72" s="1">
        <v>8480</v>
      </c>
      <c r="D72" s="6" t="s">
        <v>134</v>
      </c>
      <c r="E72" s="7">
        <v>10000</v>
      </c>
    </row>
    <row r="73" spans="1:5" x14ac:dyDescent="0.3">
      <c r="A73" s="11" t="s">
        <v>76</v>
      </c>
      <c r="B73" s="5">
        <f t="shared" si="2"/>
        <v>22021.5</v>
      </c>
      <c r="C73" s="1">
        <v>2072</v>
      </c>
      <c r="D73" s="6" t="s">
        <v>134</v>
      </c>
      <c r="E73" s="7">
        <v>10000</v>
      </c>
    </row>
    <row r="74" spans="1:5" x14ac:dyDescent="0.3">
      <c r="A74" s="12" t="s">
        <v>77</v>
      </c>
      <c r="B74" s="5">
        <f t="shared" si="2"/>
        <v>22021.5</v>
      </c>
      <c r="C74" s="1">
        <v>3606</v>
      </c>
      <c r="D74" s="6" t="s">
        <v>134</v>
      </c>
      <c r="E74" s="7">
        <v>10000</v>
      </c>
    </row>
    <row r="75" spans="1:5" x14ac:dyDescent="0.3">
      <c r="A75" s="11" t="s">
        <v>78</v>
      </c>
      <c r="B75" s="5">
        <f t="shared" si="2"/>
        <v>22021.5</v>
      </c>
      <c r="C75" s="1">
        <v>2788</v>
      </c>
      <c r="D75" s="6" t="s">
        <v>134</v>
      </c>
      <c r="E75" s="7">
        <v>10000</v>
      </c>
    </row>
    <row r="76" spans="1:5" x14ac:dyDescent="0.3">
      <c r="A76" s="12" t="s">
        <v>79</v>
      </c>
      <c r="B76" s="5">
        <f t="shared" si="2"/>
        <v>22021.5</v>
      </c>
      <c r="C76" s="1">
        <v>14975</v>
      </c>
      <c r="D76" s="6" t="s">
        <v>134</v>
      </c>
      <c r="E76" s="7">
        <v>10000</v>
      </c>
    </row>
    <row r="77" spans="1:5" x14ac:dyDescent="0.3">
      <c r="A77" s="11" t="s">
        <v>80</v>
      </c>
      <c r="B77" s="5">
        <f t="shared" si="2"/>
        <v>22021.5</v>
      </c>
      <c r="C77" s="1">
        <v>12201</v>
      </c>
      <c r="D77" s="6" t="s">
        <v>134</v>
      </c>
      <c r="E77" s="7">
        <v>10000</v>
      </c>
    </row>
    <row r="78" spans="1:5" x14ac:dyDescent="0.3">
      <c r="A78" s="12" t="s">
        <v>81</v>
      </c>
      <c r="B78" s="5">
        <f t="shared" si="2"/>
        <v>22021.5</v>
      </c>
      <c r="C78" s="1">
        <v>4306</v>
      </c>
      <c r="D78" s="6" t="s">
        <v>134</v>
      </c>
      <c r="E78" s="7">
        <v>10000</v>
      </c>
    </row>
    <row r="79" spans="1:5" x14ac:dyDescent="0.3">
      <c r="A79" s="11" t="s">
        <v>82</v>
      </c>
      <c r="B79" s="5">
        <f t="shared" si="2"/>
        <v>22021.5</v>
      </c>
      <c r="C79" s="1">
        <v>9313</v>
      </c>
      <c r="D79" s="6" t="s">
        <v>134</v>
      </c>
      <c r="E79" s="7">
        <v>10000</v>
      </c>
    </row>
    <row r="80" spans="1:5" x14ac:dyDescent="0.3">
      <c r="A80" s="12" t="s">
        <v>83</v>
      </c>
      <c r="B80" s="5">
        <f t="shared" si="2"/>
        <v>22021.5</v>
      </c>
      <c r="C80" s="1">
        <v>21357</v>
      </c>
      <c r="D80" s="6" t="s">
        <v>134</v>
      </c>
      <c r="E80" s="7">
        <v>10000</v>
      </c>
    </row>
    <row r="81" spans="1:5" x14ac:dyDescent="0.3">
      <c r="A81" s="11" t="s">
        <v>84</v>
      </c>
      <c r="B81" s="5">
        <f t="shared" si="2"/>
        <v>22021.5</v>
      </c>
      <c r="C81" s="8">
        <f>22021.5*2.5</f>
        <v>55053.75</v>
      </c>
      <c r="D81" s="6" t="s">
        <v>134</v>
      </c>
      <c r="E81" s="7">
        <v>10000</v>
      </c>
    </row>
    <row r="82" spans="1:5" x14ac:dyDescent="0.3">
      <c r="A82" s="12" t="s">
        <v>85</v>
      </c>
      <c r="B82" s="5">
        <f t="shared" si="2"/>
        <v>22021.5</v>
      </c>
      <c r="C82" s="1">
        <v>2614</v>
      </c>
      <c r="D82" s="6" t="s">
        <v>134</v>
      </c>
      <c r="E82" s="7">
        <v>10000</v>
      </c>
    </row>
    <row r="83" spans="1:5" x14ac:dyDescent="0.3">
      <c r="A83" s="11" t="s">
        <v>86</v>
      </c>
      <c r="B83" s="5">
        <f t="shared" si="2"/>
        <v>22021.5</v>
      </c>
      <c r="C83" s="1">
        <v>14053</v>
      </c>
      <c r="D83" s="6" t="s">
        <v>134</v>
      </c>
      <c r="E83" s="7">
        <v>10000</v>
      </c>
    </row>
    <row r="84" spans="1:5" x14ac:dyDescent="0.3">
      <c r="A84" s="12" t="s">
        <v>87</v>
      </c>
      <c r="B84" s="5">
        <f t="shared" si="2"/>
        <v>22021.5</v>
      </c>
      <c r="C84" s="1">
        <v>21259</v>
      </c>
      <c r="D84" s="6" t="s">
        <v>134</v>
      </c>
      <c r="E84" s="7">
        <v>10000</v>
      </c>
    </row>
    <row r="85" spans="1:5" x14ac:dyDescent="0.3">
      <c r="A85" s="11" t="s">
        <v>88</v>
      </c>
      <c r="B85" s="5">
        <f t="shared" si="2"/>
        <v>22021.5</v>
      </c>
      <c r="C85" s="1">
        <v>5633</v>
      </c>
      <c r="D85" s="6" t="s">
        <v>134</v>
      </c>
      <c r="E85" s="7">
        <v>10000</v>
      </c>
    </row>
    <row r="86" spans="1:5" x14ac:dyDescent="0.3">
      <c r="A86" s="12" t="s">
        <v>89</v>
      </c>
      <c r="B86" s="5">
        <f t="shared" si="2"/>
        <v>22021.5</v>
      </c>
      <c r="C86" s="8">
        <f>22021.5*2.5</f>
        <v>55053.75</v>
      </c>
      <c r="D86" s="6" t="s">
        <v>134</v>
      </c>
      <c r="E86" s="7">
        <v>10000</v>
      </c>
    </row>
    <row r="87" spans="1:5" x14ac:dyDescent="0.3">
      <c r="A87" s="11" t="s">
        <v>90</v>
      </c>
      <c r="B87" s="5">
        <f t="shared" si="2"/>
        <v>22021.5</v>
      </c>
      <c r="C87" s="1">
        <v>17884</v>
      </c>
      <c r="D87" s="6" t="s">
        <v>134</v>
      </c>
      <c r="E87" s="7">
        <v>10000</v>
      </c>
    </row>
    <row r="88" spans="1:5" x14ac:dyDescent="0.3">
      <c r="A88" s="12" t="s">
        <v>91</v>
      </c>
      <c r="B88" s="5">
        <f t="shared" si="2"/>
        <v>22021.5</v>
      </c>
      <c r="C88" s="1">
        <v>4754</v>
      </c>
      <c r="D88" s="6" t="s">
        <v>134</v>
      </c>
      <c r="E88" s="7">
        <v>10000</v>
      </c>
    </row>
    <row r="89" spans="1:5" x14ac:dyDescent="0.3">
      <c r="A89" s="11" t="s">
        <v>92</v>
      </c>
      <c r="B89" s="5">
        <f t="shared" si="2"/>
        <v>22021.5</v>
      </c>
      <c r="C89" s="1">
        <v>17669</v>
      </c>
      <c r="D89" s="6" t="s">
        <v>134</v>
      </c>
      <c r="E89" s="7">
        <v>10000</v>
      </c>
    </row>
    <row r="90" spans="1:5" x14ac:dyDescent="0.3">
      <c r="A90" s="12" t="s">
        <v>93</v>
      </c>
      <c r="B90" s="5">
        <f t="shared" si="2"/>
        <v>22021.5</v>
      </c>
      <c r="C90" s="1">
        <v>19081</v>
      </c>
      <c r="D90" s="6" t="s">
        <v>134</v>
      </c>
      <c r="E90" s="7">
        <v>10000</v>
      </c>
    </row>
    <row r="91" spans="1:5" x14ac:dyDescent="0.3">
      <c r="A91" s="11" t="s">
        <v>94</v>
      </c>
      <c r="B91" s="5">
        <f t="shared" si="2"/>
        <v>22021.5</v>
      </c>
      <c r="C91" s="8">
        <f>22021.5*2.5</f>
        <v>55053.75</v>
      </c>
      <c r="D91" s="6" t="s">
        <v>134</v>
      </c>
      <c r="E91" s="7">
        <v>10000</v>
      </c>
    </row>
    <row r="92" spans="1:5" x14ac:dyDescent="0.3">
      <c r="A92" s="12" t="s">
        <v>95</v>
      </c>
      <c r="B92" s="5">
        <f t="shared" si="2"/>
        <v>22021.5</v>
      </c>
      <c r="C92" s="1">
        <v>13559</v>
      </c>
      <c r="D92" s="6" t="s">
        <v>134</v>
      </c>
      <c r="E92" s="7">
        <v>10000</v>
      </c>
    </row>
    <row r="93" spans="1:5" x14ac:dyDescent="0.3">
      <c r="A93" s="11" t="s">
        <v>96</v>
      </c>
      <c r="B93" s="5">
        <f t="shared" si="2"/>
        <v>22021.5</v>
      </c>
      <c r="C93" s="1">
        <v>15776</v>
      </c>
      <c r="D93" s="6" t="s">
        <v>134</v>
      </c>
      <c r="E93" s="7">
        <v>10000</v>
      </c>
    </row>
    <row r="94" spans="1:5" x14ac:dyDescent="0.3">
      <c r="A94" s="12" t="s">
        <v>97</v>
      </c>
      <c r="B94" s="5">
        <f t="shared" si="2"/>
        <v>22021.5</v>
      </c>
      <c r="C94" s="1">
        <v>8710</v>
      </c>
      <c r="D94" s="6" t="s">
        <v>134</v>
      </c>
      <c r="E94" s="7">
        <v>10000</v>
      </c>
    </row>
    <row r="95" spans="1:5" x14ac:dyDescent="0.3">
      <c r="A95" s="11" t="s">
        <v>98</v>
      </c>
      <c r="B95" s="5">
        <f t="shared" si="2"/>
        <v>22021.5</v>
      </c>
      <c r="C95" s="1">
        <v>2877</v>
      </c>
      <c r="D95" s="6" t="s">
        <v>134</v>
      </c>
      <c r="E95" s="7">
        <v>10000</v>
      </c>
    </row>
    <row r="96" spans="1:5" x14ac:dyDescent="0.3">
      <c r="A96" s="12" t="s">
        <v>99</v>
      </c>
      <c r="B96" s="5">
        <f t="shared" si="2"/>
        <v>22021.5</v>
      </c>
      <c r="C96" s="1">
        <v>17727</v>
      </c>
      <c r="D96" s="6" t="s">
        <v>134</v>
      </c>
      <c r="E96" s="7">
        <v>10000</v>
      </c>
    </row>
    <row r="97" spans="1:5" x14ac:dyDescent="0.3">
      <c r="A97" s="11" t="s">
        <v>100</v>
      </c>
      <c r="B97" s="5">
        <f t="shared" si="2"/>
        <v>22021.5</v>
      </c>
      <c r="C97" s="1">
        <v>12564</v>
      </c>
      <c r="D97" s="6" t="s">
        <v>134</v>
      </c>
      <c r="E97" s="7">
        <v>10000</v>
      </c>
    </row>
    <row r="98" spans="1:5" x14ac:dyDescent="0.3">
      <c r="A98" s="12" t="s">
        <v>101</v>
      </c>
      <c r="B98" s="5">
        <f t="shared" si="2"/>
        <v>22021.5</v>
      </c>
      <c r="C98" s="1">
        <v>19608</v>
      </c>
      <c r="D98" s="6" t="s">
        <v>134</v>
      </c>
      <c r="E98" s="7">
        <v>10000</v>
      </c>
    </row>
    <row r="99" spans="1:5" x14ac:dyDescent="0.3">
      <c r="A99" s="11" t="s">
        <v>102</v>
      </c>
      <c r="B99" s="5">
        <f t="shared" si="2"/>
        <v>22021.5</v>
      </c>
      <c r="C99" s="1">
        <v>13729</v>
      </c>
      <c r="D99" s="6" t="s">
        <v>134</v>
      </c>
      <c r="E99" s="7">
        <v>10000</v>
      </c>
    </row>
    <row r="100" spans="1:5" x14ac:dyDescent="0.3">
      <c r="A100" s="12" t="s">
        <v>103</v>
      </c>
      <c r="B100" s="5">
        <f t="shared" si="2"/>
        <v>22021.5</v>
      </c>
      <c r="C100" s="1">
        <v>19286</v>
      </c>
      <c r="D100" s="6" t="s">
        <v>134</v>
      </c>
      <c r="E100" s="7">
        <v>10000</v>
      </c>
    </row>
    <row r="101" spans="1:5" x14ac:dyDescent="0.3">
      <c r="A101" s="11" t="s">
        <v>104</v>
      </c>
      <c r="B101" s="5">
        <f t="shared" si="2"/>
        <v>22021.5</v>
      </c>
      <c r="C101" s="1">
        <v>19740</v>
      </c>
      <c r="D101" s="6" t="s">
        <v>5</v>
      </c>
      <c r="E101" s="7">
        <v>10000</v>
      </c>
    </row>
    <row r="102" spans="1:5" x14ac:dyDescent="0.3">
      <c r="A102" s="12" t="s">
        <v>105</v>
      </c>
      <c r="B102" s="5">
        <f t="shared" si="2"/>
        <v>22021.5</v>
      </c>
      <c r="C102" s="1">
        <v>16737</v>
      </c>
      <c r="D102" s="6" t="s">
        <v>5</v>
      </c>
      <c r="E102" s="7">
        <v>10000</v>
      </c>
    </row>
    <row r="103" spans="1:5" x14ac:dyDescent="0.3">
      <c r="A103" s="11" t="s">
        <v>106</v>
      </c>
      <c r="B103" s="5">
        <f t="shared" si="2"/>
        <v>22021.5</v>
      </c>
      <c r="C103" s="1">
        <v>5703</v>
      </c>
      <c r="D103" s="6" t="s">
        <v>5</v>
      </c>
      <c r="E103" s="7">
        <v>10000</v>
      </c>
    </row>
    <row r="104" spans="1:5" x14ac:dyDescent="0.3">
      <c r="A104" s="12" t="s">
        <v>107</v>
      </c>
      <c r="B104" s="5">
        <f t="shared" si="2"/>
        <v>22021.5</v>
      </c>
      <c r="C104" s="8">
        <f>22021.5*2.5</f>
        <v>55053.75</v>
      </c>
      <c r="D104" s="6" t="s">
        <v>5</v>
      </c>
      <c r="E104" s="7">
        <v>10000</v>
      </c>
    </row>
    <row r="105" spans="1:5" x14ac:dyDescent="0.3">
      <c r="A105" s="11" t="s">
        <v>108</v>
      </c>
      <c r="B105" s="5">
        <f t="shared" si="2"/>
        <v>22021.5</v>
      </c>
      <c r="C105" s="1">
        <v>16138</v>
      </c>
      <c r="D105" s="6" t="s">
        <v>5</v>
      </c>
      <c r="E105" s="7">
        <v>10000</v>
      </c>
    </row>
    <row r="106" spans="1:5" x14ac:dyDescent="0.3">
      <c r="A106" s="12" t="s">
        <v>109</v>
      </c>
      <c r="B106" s="5">
        <f t="shared" si="2"/>
        <v>22021.5</v>
      </c>
      <c r="C106" s="1">
        <v>20246</v>
      </c>
      <c r="D106" s="6" t="s">
        <v>5</v>
      </c>
      <c r="E106" s="7">
        <v>10000</v>
      </c>
    </row>
    <row r="107" spans="1:5" x14ac:dyDescent="0.3">
      <c r="A107" s="11" t="s">
        <v>110</v>
      </c>
      <c r="B107" s="5">
        <f t="shared" si="2"/>
        <v>22021.5</v>
      </c>
      <c r="C107" s="1">
        <v>2762</v>
      </c>
      <c r="D107" s="6" t="s">
        <v>5</v>
      </c>
      <c r="E107" s="7">
        <v>10000</v>
      </c>
    </row>
    <row r="108" spans="1:5" x14ac:dyDescent="0.3">
      <c r="A108" s="12" t="s">
        <v>111</v>
      </c>
      <c r="B108" s="5">
        <f t="shared" si="2"/>
        <v>22021.5</v>
      </c>
      <c r="C108" s="1">
        <v>3240</v>
      </c>
      <c r="D108" s="6" t="s">
        <v>5</v>
      </c>
      <c r="E108" s="7">
        <v>10000</v>
      </c>
    </row>
    <row r="109" spans="1:5" x14ac:dyDescent="0.3">
      <c r="A109" s="11" t="s">
        <v>112</v>
      </c>
      <c r="B109" s="5">
        <f t="shared" si="2"/>
        <v>22021.5</v>
      </c>
      <c r="C109" s="1">
        <v>20348</v>
      </c>
      <c r="D109" s="6" t="s">
        <v>5</v>
      </c>
      <c r="E109" s="7">
        <v>10000</v>
      </c>
    </row>
    <row r="110" spans="1:5" x14ac:dyDescent="0.3">
      <c r="A110" s="12" t="s">
        <v>113</v>
      </c>
      <c r="B110" s="5">
        <f t="shared" si="2"/>
        <v>22021.5</v>
      </c>
      <c r="C110" s="1">
        <v>19241</v>
      </c>
      <c r="D110" s="6" t="s">
        <v>5</v>
      </c>
      <c r="E110" s="7">
        <v>10000</v>
      </c>
    </row>
    <row r="111" spans="1:5" x14ac:dyDescent="0.3">
      <c r="A111" s="11" t="s">
        <v>114</v>
      </c>
      <c r="B111" s="5">
        <f t="shared" si="2"/>
        <v>22021.5</v>
      </c>
      <c r="C111" s="1">
        <v>19574</v>
      </c>
      <c r="D111" s="6" t="s">
        <v>5</v>
      </c>
      <c r="E111" s="7">
        <v>10000</v>
      </c>
    </row>
    <row r="112" spans="1:5" x14ac:dyDescent="0.3">
      <c r="A112" s="12" t="s">
        <v>115</v>
      </c>
      <c r="B112" s="5">
        <f t="shared" si="2"/>
        <v>22021.5</v>
      </c>
      <c r="C112" s="1">
        <v>21343</v>
      </c>
      <c r="D112" s="6" t="s">
        <v>5</v>
      </c>
      <c r="E112" s="7">
        <v>10000</v>
      </c>
    </row>
    <row r="113" spans="1:5" x14ac:dyDescent="0.3">
      <c r="A113" s="11" t="s">
        <v>116</v>
      </c>
      <c r="B113" s="5">
        <f t="shared" si="2"/>
        <v>22021.5</v>
      </c>
      <c r="C113" s="8">
        <f>22021.5*2.5</f>
        <v>55053.75</v>
      </c>
      <c r="D113" s="6" t="s">
        <v>5</v>
      </c>
      <c r="E113" s="7">
        <v>10000</v>
      </c>
    </row>
    <row r="114" spans="1:5" x14ac:dyDescent="0.3">
      <c r="A114" s="12" t="s">
        <v>117</v>
      </c>
      <c r="B114" s="5">
        <f t="shared" si="2"/>
        <v>22021.5</v>
      </c>
      <c r="C114" s="1">
        <v>9713</v>
      </c>
      <c r="D114" s="6" t="s">
        <v>5</v>
      </c>
      <c r="E114" s="7">
        <v>10000</v>
      </c>
    </row>
    <row r="115" spans="1:5" x14ac:dyDescent="0.3">
      <c r="A115" s="11" t="s">
        <v>118</v>
      </c>
      <c r="B115" s="5">
        <f t="shared" si="2"/>
        <v>22021.5</v>
      </c>
      <c r="C115" s="1">
        <v>14654</v>
      </c>
      <c r="D115" s="6" t="s">
        <v>5</v>
      </c>
      <c r="E115" s="7">
        <v>10000</v>
      </c>
    </row>
    <row r="116" spans="1:5" x14ac:dyDescent="0.3">
      <c r="A116" s="12" t="s">
        <v>119</v>
      </c>
      <c r="B116" s="5">
        <f t="shared" si="2"/>
        <v>22021.5</v>
      </c>
      <c r="C116" s="1">
        <v>2748</v>
      </c>
      <c r="D116" s="6" t="s">
        <v>5</v>
      </c>
      <c r="E116" s="7">
        <v>10000</v>
      </c>
    </row>
    <row r="117" spans="1:5" x14ac:dyDescent="0.3">
      <c r="A117" s="11" t="s">
        <v>120</v>
      </c>
      <c r="B117" s="5">
        <f t="shared" si="2"/>
        <v>22021.5</v>
      </c>
      <c r="C117" s="1">
        <v>1579</v>
      </c>
      <c r="D117" s="6" t="s">
        <v>5</v>
      </c>
      <c r="E117" s="7">
        <v>10000</v>
      </c>
    </row>
    <row r="118" spans="1:5" x14ac:dyDescent="0.3">
      <c r="A118" s="12" t="s">
        <v>121</v>
      </c>
      <c r="B118" s="5">
        <f t="shared" si="2"/>
        <v>22021.5</v>
      </c>
      <c r="C118" s="1">
        <v>19215</v>
      </c>
      <c r="D118" s="6" t="s">
        <v>5</v>
      </c>
      <c r="E118" s="7">
        <v>10000</v>
      </c>
    </row>
    <row r="119" spans="1:5" x14ac:dyDescent="0.3">
      <c r="A119" s="11" t="s">
        <v>122</v>
      </c>
      <c r="B119" s="5">
        <f t="shared" si="2"/>
        <v>22021.5</v>
      </c>
      <c r="C119" s="1">
        <v>7492</v>
      </c>
      <c r="D119" s="6" t="s">
        <v>5</v>
      </c>
      <c r="E119" s="7">
        <v>10000</v>
      </c>
    </row>
    <row r="120" spans="1:5" x14ac:dyDescent="0.3">
      <c r="A120" s="12" t="s">
        <v>123</v>
      </c>
      <c r="B120" s="5">
        <f t="shared" si="2"/>
        <v>22021.5</v>
      </c>
      <c r="C120" s="8">
        <f>22021.5*2.5</f>
        <v>55053.75</v>
      </c>
      <c r="D120" s="6" t="s">
        <v>5</v>
      </c>
      <c r="E120" s="7">
        <v>10000</v>
      </c>
    </row>
    <row r="121" spans="1:5" x14ac:dyDescent="0.3">
      <c r="A121" s="11" t="s">
        <v>124</v>
      </c>
      <c r="B121" s="5">
        <f t="shared" si="2"/>
        <v>22021.5</v>
      </c>
      <c r="C121" s="1">
        <v>14700</v>
      </c>
      <c r="D121" s="6" t="s">
        <v>5</v>
      </c>
      <c r="E121" s="7">
        <v>10000</v>
      </c>
    </row>
    <row r="122" spans="1:5" x14ac:dyDescent="0.3">
      <c r="A122" s="12" t="s">
        <v>125</v>
      </c>
      <c r="B122" s="5">
        <f t="shared" si="2"/>
        <v>22021.5</v>
      </c>
      <c r="C122" s="1">
        <v>19332</v>
      </c>
      <c r="D122" s="6" t="s">
        <v>5</v>
      </c>
      <c r="E122" s="7">
        <v>10000</v>
      </c>
    </row>
    <row r="123" spans="1:5" x14ac:dyDescent="0.3">
      <c r="A123" s="11" t="s">
        <v>126</v>
      </c>
      <c r="B123" s="5">
        <f t="shared" si="2"/>
        <v>22021.5</v>
      </c>
      <c r="C123" s="1">
        <v>20187</v>
      </c>
      <c r="D123" s="6" t="s">
        <v>5</v>
      </c>
      <c r="E123" s="7">
        <v>10000</v>
      </c>
    </row>
    <row r="124" spans="1:5" x14ac:dyDescent="0.3">
      <c r="A124" s="12" t="s">
        <v>127</v>
      </c>
      <c r="B124" s="5">
        <f t="shared" si="2"/>
        <v>22021.5</v>
      </c>
      <c r="C124" s="8">
        <f>22021.5*2.5</f>
        <v>55053.75</v>
      </c>
      <c r="D124" s="6" t="s">
        <v>5</v>
      </c>
      <c r="E124" s="7">
        <v>10000</v>
      </c>
    </row>
    <row r="125" spans="1:5" x14ac:dyDescent="0.3">
      <c r="A125" s="11" t="s">
        <v>128</v>
      </c>
      <c r="B125" s="5">
        <f t="shared" si="2"/>
        <v>22021.5</v>
      </c>
      <c r="C125" s="1">
        <v>8756</v>
      </c>
      <c r="D125" s="6" t="s">
        <v>5</v>
      </c>
      <c r="E125" s="7">
        <v>10000</v>
      </c>
    </row>
    <row r="126" spans="1:5" x14ac:dyDescent="0.3">
      <c r="A126" s="12" t="s">
        <v>129</v>
      </c>
      <c r="B126" s="5">
        <f t="shared" si="2"/>
        <v>22021.5</v>
      </c>
      <c r="C126" s="1">
        <v>3643</v>
      </c>
      <c r="D126" s="6" t="s">
        <v>5</v>
      </c>
      <c r="E126" s="7">
        <v>10000</v>
      </c>
    </row>
    <row r="127" spans="1:5" x14ac:dyDescent="0.3">
      <c r="A127" s="11" t="s">
        <v>130</v>
      </c>
      <c r="B127" s="5">
        <f t="shared" si="2"/>
        <v>22021.5</v>
      </c>
      <c r="C127" s="8">
        <f>22021.5*2.5</f>
        <v>55053.75</v>
      </c>
      <c r="D127" s="6" t="s">
        <v>5</v>
      </c>
      <c r="E127" s="7">
        <v>10000</v>
      </c>
    </row>
    <row r="128" spans="1:5" x14ac:dyDescent="0.3">
      <c r="A128" s="12"/>
    </row>
    <row r="129" spans="1:1" x14ac:dyDescent="0.3">
      <c r="A129" s="11"/>
    </row>
    <row r="130" spans="1:1" x14ac:dyDescent="0.3">
      <c r="A130" s="12"/>
    </row>
    <row r="131" spans="1:1" x14ac:dyDescent="0.3">
      <c r="A131" s="11"/>
    </row>
    <row r="132" spans="1:1" x14ac:dyDescent="0.3">
      <c r="A132" s="12"/>
    </row>
    <row r="133" spans="1:1" x14ac:dyDescent="0.3">
      <c r="A133" s="11"/>
    </row>
    <row r="134" spans="1:1" x14ac:dyDescent="0.3">
      <c r="A134" s="12"/>
    </row>
    <row r="135" spans="1:1" x14ac:dyDescent="0.3">
      <c r="A135" s="11"/>
    </row>
    <row r="136" spans="1:1" x14ac:dyDescent="0.3">
      <c r="A136" s="12"/>
    </row>
    <row r="137" spans="1:1" x14ac:dyDescent="0.3">
      <c r="A137" s="11"/>
    </row>
    <row r="138" spans="1:1" x14ac:dyDescent="0.3">
      <c r="A138" s="12"/>
    </row>
    <row r="139" spans="1:1" x14ac:dyDescent="0.3">
      <c r="A139" s="11"/>
    </row>
    <row r="140" spans="1:1" x14ac:dyDescent="0.3">
      <c r="A140" s="12"/>
    </row>
    <row r="141" spans="1:1" x14ac:dyDescent="0.3">
      <c r="A141" s="11"/>
    </row>
    <row r="142" spans="1:1" x14ac:dyDescent="0.3">
      <c r="A142" s="12"/>
    </row>
    <row r="143" spans="1:1" x14ac:dyDescent="0.3">
      <c r="A143" s="13"/>
    </row>
    <row r="144" spans="1:1" x14ac:dyDescent="0.3">
      <c r="A144" s="14"/>
    </row>
    <row r="145" spans="1:1" x14ac:dyDescent="0.3">
      <c r="A145" s="13"/>
    </row>
    <row r="146" spans="1:1" x14ac:dyDescent="0.3">
      <c r="A146" s="14"/>
    </row>
    <row r="147" spans="1:1" x14ac:dyDescent="0.3">
      <c r="A147" s="13"/>
    </row>
    <row r="148" spans="1:1" x14ac:dyDescent="0.3">
      <c r="A148" s="14"/>
    </row>
    <row r="149" spans="1:1" x14ac:dyDescent="0.3">
      <c r="A149" s="13"/>
    </row>
    <row r="150" spans="1:1" x14ac:dyDescent="0.3">
      <c r="A150" s="14"/>
    </row>
    <row r="151" spans="1:1" x14ac:dyDescent="0.3">
      <c r="A151" s="13"/>
    </row>
    <row r="152" spans="1:1" x14ac:dyDescent="0.3">
      <c r="A152" s="14"/>
    </row>
    <row r="153" spans="1:1" x14ac:dyDescent="0.3">
      <c r="A153" s="13"/>
    </row>
    <row r="154" spans="1:1" x14ac:dyDescent="0.3">
      <c r="A154" s="14"/>
    </row>
    <row r="155" spans="1:1" x14ac:dyDescent="0.3">
      <c r="A155" s="13"/>
    </row>
    <row r="156" spans="1:1" x14ac:dyDescent="0.3">
      <c r="A156" s="14"/>
    </row>
    <row r="157" spans="1:1" x14ac:dyDescent="0.3">
      <c r="A157" s="13"/>
    </row>
    <row r="158" spans="1:1" x14ac:dyDescent="0.3">
      <c r="A158" s="14"/>
    </row>
    <row r="159" spans="1:1" x14ac:dyDescent="0.3">
      <c r="A159" s="13"/>
    </row>
    <row r="160" spans="1:1" x14ac:dyDescent="0.3">
      <c r="A160" s="14"/>
    </row>
    <row r="161" spans="1:1" x14ac:dyDescent="0.3">
      <c r="A161" s="13"/>
    </row>
    <row r="162" spans="1:1" x14ac:dyDescent="0.3">
      <c r="A162" s="14"/>
    </row>
    <row r="163" spans="1:1" x14ac:dyDescent="0.3">
      <c r="A163" s="13"/>
    </row>
    <row r="164" spans="1:1" x14ac:dyDescent="0.3">
      <c r="A164" s="14"/>
    </row>
    <row r="165" spans="1:1" x14ac:dyDescent="0.3">
      <c r="A165" s="13"/>
    </row>
    <row r="166" spans="1:1" x14ac:dyDescent="0.3">
      <c r="A166" s="14"/>
    </row>
    <row r="167" spans="1:1" x14ac:dyDescent="0.3">
      <c r="A167" s="13"/>
    </row>
    <row r="168" spans="1:1" x14ac:dyDescent="0.3">
      <c r="A168" s="14"/>
    </row>
    <row r="169" spans="1:1" x14ac:dyDescent="0.3">
      <c r="A169" s="13"/>
    </row>
    <row r="170" spans="1:1" x14ac:dyDescent="0.3">
      <c r="A170" s="14"/>
    </row>
    <row r="171" spans="1:1" x14ac:dyDescent="0.3">
      <c r="A171" s="13"/>
    </row>
    <row r="172" spans="1:1" x14ac:dyDescent="0.3">
      <c r="A172" s="14"/>
    </row>
    <row r="173" spans="1:1" x14ac:dyDescent="0.3">
      <c r="A173" s="13"/>
    </row>
    <row r="174" spans="1:1" x14ac:dyDescent="0.3">
      <c r="A174" s="14"/>
    </row>
    <row r="175" spans="1:1" x14ac:dyDescent="0.3">
      <c r="A175" s="13"/>
    </row>
    <row r="176" spans="1:1" x14ac:dyDescent="0.3">
      <c r="A176" s="14"/>
    </row>
    <row r="177" spans="1:1" x14ac:dyDescent="0.3">
      <c r="A177" s="13"/>
    </row>
    <row r="178" spans="1:1" x14ac:dyDescent="0.3">
      <c r="A178" s="14"/>
    </row>
    <row r="179" spans="1:1" x14ac:dyDescent="0.3">
      <c r="A179" s="13"/>
    </row>
    <row r="180" spans="1:1" x14ac:dyDescent="0.3">
      <c r="A180" s="14"/>
    </row>
    <row r="181" spans="1:1" x14ac:dyDescent="0.3">
      <c r="A181" s="13"/>
    </row>
    <row r="182" spans="1:1" x14ac:dyDescent="0.3">
      <c r="A182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DF23-95E6-4056-822D-10D0E00C9D2E}">
  <dimension ref="A1:F11"/>
  <sheetViews>
    <sheetView tabSelected="1" workbookViewId="0">
      <selection activeCell="N21" sqref="N21"/>
    </sheetView>
  </sheetViews>
  <sheetFormatPr defaultRowHeight="14.4" x14ac:dyDescent="0.3"/>
  <cols>
    <col min="1" max="1" width="9.6640625" customWidth="1"/>
    <col min="6" max="6" width="11.33203125" customWidth="1"/>
  </cols>
  <sheetData>
    <row r="1" spans="1:6" x14ac:dyDescent="0.3">
      <c r="A1" t="s">
        <v>135</v>
      </c>
      <c r="B1" t="s">
        <v>136</v>
      </c>
      <c r="C1" t="s">
        <v>137</v>
      </c>
    </row>
    <row r="2" spans="1:6" x14ac:dyDescent="0.3">
      <c r="A2" t="s">
        <v>138</v>
      </c>
      <c r="B2" t="s">
        <v>139</v>
      </c>
      <c r="C2">
        <v>318</v>
      </c>
      <c r="E2" t="s">
        <v>2</v>
      </c>
      <c r="F2" t="s">
        <v>140</v>
      </c>
    </row>
    <row r="3" spans="1:6" x14ac:dyDescent="0.3">
      <c r="A3" t="s">
        <v>141</v>
      </c>
      <c r="B3" t="s">
        <v>139</v>
      </c>
      <c r="C3">
        <v>405</v>
      </c>
      <c r="E3" t="s">
        <v>139</v>
      </c>
    </row>
    <row r="4" spans="1:6" x14ac:dyDescent="0.3">
      <c r="A4" t="s">
        <v>142</v>
      </c>
      <c r="B4" t="s">
        <v>139</v>
      </c>
      <c r="C4">
        <v>525</v>
      </c>
      <c r="E4" t="s">
        <v>143</v>
      </c>
    </row>
    <row r="5" spans="1:6" x14ac:dyDescent="0.3">
      <c r="A5" t="s">
        <v>144</v>
      </c>
      <c r="B5" t="s">
        <v>143</v>
      </c>
      <c r="C5">
        <v>309</v>
      </c>
      <c r="E5" t="s">
        <v>145</v>
      </c>
    </row>
    <row r="6" spans="1:6" x14ac:dyDescent="0.3">
      <c r="A6" t="s">
        <v>146</v>
      </c>
      <c r="B6" t="s">
        <v>143</v>
      </c>
      <c r="C6">
        <v>405</v>
      </c>
    </row>
    <row r="7" spans="1:6" x14ac:dyDescent="0.3">
      <c r="A7" t="s">
        <v>147</v>
      </c>
      <c r="B7" t="s">
        <v>143</v>
      </c>
      <c r="C7">
        <v>534</v>
      </c>
    </row>
    <row r="8" spans="1:6" x14ac:dyDescent="0.3">
      <c r="A8" t="s">
        <v>148</v>
      </c>
      <c r="B8" t="s">
        <v>145</v>
      </c>
      <c r="C8">
        <v>314</v>
      </c>
    </row>
    <row r="9" spans="1:6" x14ac:dyDescent="0.3">
      <c r="A9" t="s">
        <v>149</v>
      </c>
      <c r="B9" t="s">
        <v>145</v>
      </c>
      <c r="C9">
        <v>405</v>
      </c>
    </row>
    <row r="10" spans="1:6" x14ac:dyDescent="0.3">
      <c r="A10" t="s">
        <v>150</v>
      </c>
      <c r="B10" t="s">
        <v>145</v>
      </c>
      <c r="C10">
        <v>530</v>
      </c>
    </row>
    <row r="11" spans="1:6" x14ac:dyDescent="0.3">
      <c r="A11" t="s">
        <v>151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2023-12-03T03:54:01Z</dcterms:created>
  <dcterms:modified xsi:type="dcterms:W3CDTF">2026-01-25T14:49:41Z</dcterms:modified>
</cp:coreProperties>
</file>