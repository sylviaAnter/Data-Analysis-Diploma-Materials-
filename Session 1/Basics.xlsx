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E0AC199-97D0-45BE-9BCD-EDB286135D49}" xr6:coauthVersionLast="47" xr6:coauthVersionMax="47" xr10:uidLastSave="{00000000-0000-0000-0000-000000000000}"/>
  <bookViews>
    <workbookView xWindow="-108" yWindow="-108" windowWidth="23256" windowHeight="12576" xr2:uid="{2D47B7DB-3404-4C49-A394-E05043AF5E3B}"/>
  </bookViews>
  <sheets>
    <sheet name="1st" sheetId="1" r:id="rId1"/>
    <sheet name="2nd" sheetId="2" r:id="rId2"/>
    <sheet name="3rd" sheetId="3" r:id="rId3"/>
    <sheet name="Test1" sheetId="4" r:id="rId4"/>
    <sheet name="test2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7" i="3" l="1"/>
  <c r="C127" i="3"/>
  <c r="C126" i="3"/>
  <c r="C125" i="3"/>
  <c r="D124" i="3"/>
  <c r="C124" i="3"/>
  <c r="C123" i="3"/>
  <c r="C122" i="3"/>
  <c r="C121" i="3"/>
  <c r="D120" i="3"/>
  <c r="C120" i="3"/>
  <c r="C119" i="3"/>
  <c r="C118" i="3"/>
  <c r="C117" i="3"/>
  <c r="C116" i="3"/>
  <c r="C115" i="3"/>
  <c r="C114" i="3"/>
  <c r="D113" i="3"/>
  <c r="C113" i="3"/>
  <c r="C112" i="3"/>
  <c r="C111" i="3"/>
  <c r="C110" i="3"/>
  <c r="C109" i="3"/>
  <c r="C108" i="3"/>
  <c r="C107" i="3"/>
  <c r="C106" i="3"/>
  <c r="C105" i="3"/>
  <c r="D104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D91" i="3"/>
  <c r="C91" i="3"/>
  <c r="C90" i="3"/>
  <c r="C89" i="3"/>
  <c r="C88" i="3"/>
  <c r="C87" i="3"/>
  <c r="D86" i="3"/>
  <c r="C86" i="3"/>
  <c r="C85" i="3"/>
  <c r="C84" i="3"/>
  <c r="C83" i="3"/>
  <c r="C82" i="3"/>
  <c r="D81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D67" i="3"/>
  <c r="C67" i="3"/>
  <c r="C66" i="3"/>
  <c r="C65" i="3"/>
  <c r="C64" i="3"/>
  <c r="C63" i="3"/>
  <c r="D62" i="3"/>
  <c r="C62" i="3"/>
  <c r="C61" i="3"/>
  <c r="C60" i="3"/>
  <c r="C59" i="3"/>
  <c r="C58" i="3"/>
  <c r="C57" i="3"/>
  <c r="C56" i="3"/>
  <c r="C55" i="3"/>
  <c r="C54" i="3"/>
  <c r="C53" i="3"/>
  <c r="C52" i="3"/>
  <c r="D51" i="3"/>
  <c r="C51" i="3"/>
  <c r="C50" i="3"/>
  <c r="C49" i="3"/>
  <c r="D48" i="3"/>
  <c r="C48" i="3"/>
  <c r="C47" i="3"/>
  <c r="C46" i="3"/>
  <c r="C45" i="3"/>
  <c r="C44" i="3"/>
  <c r="C43" i="3"/>
  <c r="C42" i="3"/>
  <c r="D41" i="3"/>
  <c r="C41" i="3"/>
  <c r="C40" i="3"/>
  <c r="C39" i="3"/>
  <c r="C38" i="3"/>
  <c r="D37" i="3"/>
  <c r="C37" i="3"/>
  <c r="C36" i="3"/>
  <c r="D35" i="3"/>
  <c r="C35" i="3"/>
  <c r="C34" i="3"/>
  <c r="C33" i="3"/>
  <c r="D32" i="3"/>
  <c r="C32" i="3"/>
  <c r="C31" i="3"/>
  <c r="C30" i="3"/>
  <c r="C29" i="3"/>
  <c r="D28" i="3"/>
  <c r="C28" i="3"/>
  <c r="C27" i="3"/>
  <c r="D26" i="3"/>
  <c r="C26" i="3"/>
  <c r="C25" i="3"/>
  <c r="C24" i="3"/>
  <c r="C23" i="3"/>
  <c r="D22" i="3"/>
  <c r="C22" i="3"/>
  <c r="C21" i="3"/>
  <c r="C20" i="3"/>
  <c r="D19" i="3"/>
  <c r="C19" i="3"/>
  <c r="C18" i="3"/>
  <c r="C17" i="3"/>
  <c r="D16" i="3"/>
  <c r="C16" i="3"/>
  <c r="D15" i="3"/>
  <c r="C15" i="3"/>
  <c r="C14" i="3"/>
  <c r="D13" i="3"/>
  <c r="C13" i="3"/>
  <c r="D12" i="3"/>
  <c r="C12" i="3"/>
  <c r="C11" i="3"/>
  <c r="D10" i="3"/>
  <c r="C10" i="3"/>
  <c r="C9" i="3"/>
  <c r="D8" i="3"/>
  <c r="C8" i="3"/>
  <c r="C7" i="3"/>
  <c r="C6" i="3"/>
  <c r="C5" i="3"/>
  <c r="D4" i="3"/>
  <c r="C4" i="3"/>
  <c r="C3" i="3"/>
  <c r="D3" i="3" s="1"/>
  <c r="E48" i="2"/>
  <c r="E41" i="2"/>
  <c r="E35" i="2"/>
  <c r="E32" i="2"/>
  <c r="E22" i="2"/>
  <c r="E26" i="2"/>
  <c r="E10" i="2"/>
  <c r="E19" i="2"/>
  <c r="E15" i="2"/>
  <c r="E12" i="2"/>
  <c r="E8" i="2"/>
  <c r="E4" i="2"/>
  <c r="E127" i="2"/>
  <c r="E124" i="2"/>
  <c r="E120" i="2"/>
  <c r="E113" i="2"/>
  <c r="E104" i="2"/>
  <c r="E91" i="2"/>
  <c r="E86" i="2"/>
  <c r="E81" i="2"/>
  <c r="E67" i="2"/>
  <c r="L58" i="2"/>
  <c r="E62" i="2"/>
  <c r="E51" i="2"/>
  <c r="E37" i="2"/>
  <c r="E28" i="2"/>
  <c r="E13" i="2"/>
  <c r="E16" i="2"/>
  <c r="E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C3" i="4"/>
  <c r="C4" i="4"/>
  <c r="C5" i="4"/>
  <c r="C6" i="4"/>
  <c r="C7" i="4"/>
  <c r="C8" i="4"/>
  <c r="C9" i="4"/>
  <c r="C10" i="4"/>
  <c r="C2" i="4"/>
</calcChain>
</file>

<file path=xl/sharedStrings.xml><?xml version="1.0" encoding="utf-8"?>
<sst xmlns="http://schemas.openxmlformats.org/spreadsheetml/2006/main" count="501" uniqueCount="212">
  <si>
    <t>Name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</si>
  <si>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</si>
  <si>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</si>
  <si>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</si>
  <si>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</si>
  <si>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</si>
  <si>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</si>
  <si>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</si>
  <si>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</si>
  <si>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</si>
  <si>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</si>
  <si>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</si>
  <si>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</si>
  <si>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</si>
  <si>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</si>
  <si>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</si>
  <si>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</si>
  <si>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</si>
  <si>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</si>
  <si>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</si>
  <si>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</si>
  <si>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</si>
  <si>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</si>
  <si>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</si>
  <si>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</si>
  <si>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</si>
  <si>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</si>
  <si>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</si>
  <si>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</si>
  <si>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</si>
  <si>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</si>
  <si>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</si>
  <si>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</si>
  <si>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</si>
  <si>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</si>
  <si>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</si>
  <si>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</si>
  <si>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</si>
  <si>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</si>
  <si>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</si>
  <si>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</si>
  <si>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Target</t>
  </si>
  <si>
    <t>Actual</t>
  </si>
  <si>
    <t>Type</t>
  </si>
  <si>
    <t>Salary</t>
  </si>
  <si>
    <t>Ahmed</t>
  </si>
  <si>
    <t>Mohamed</t>
  </si>
  <si>
    <t>Mahmoud</t>
  </si>
  <si>
    <t>Mostafa</t>
  </si>
  <si>
    <t>Youssef</t>
  </si>
  <si>
    <t>Omar</t>
  </si>
  <si>
    <t>Ali</t>
  </si>
  <si>
    <t>Hassan</t>
  </si>
  <si>
    <t>Hussein</t>
  </si>
  <si>
    <t>Khaled</t>
  </si>
  <si>
    <t>Amr</t>
  </si>
  <si>
    <t>Tamer</t>
  </si>
  <si>
    <t>Karim</t>
  </si>
  <si>
    <t>Islam</t>
  </si>
  <si>
    <t>Ayman</t>
  </si>
  <si>
    <t>Sherif</t>
  </si>
  <si>
    <t>Sameh</t>
  </si>
  <si>
    <t>Walid</t>
  </si>
  <si>
    <t>Hany</t>
  </si>
  <si>
    <t>Eslam</t>
  </si>
  <si>
    <t>Ibrahim</t>
  </si>
  <si>
    <t>Adel</t>
  </si>
  <si>
    <t>Essam</t>
  </si>
  <si>
    <t>Bassem</t>
  </si>
  <si>
    <t>Mina</t>
  </si>
  <si>
    <t>George</t>
  </si>
  <si>
    <t>Michael</t>
  </si>
  <si>
    <t>Peter</t>
  </si>
  <si>
    <t>Andrew</t>
  </si>
  <si>
    <t>John</t>
  </si>
  <si>
    <t>Mark</t>
  </si>
  <si>
    <t>Tony</t>
  </si>
  <si>
    <t>Fady</t>
  </si>
  <si>
    <t>Ramy</t>
  </si>
  <si>
    <t>Ashraf</t>
  </si>
  <si>
    <t>Emad</t>
  </si>
  <si>
    <t>Nader</t>
  </si>
  <si>
    <t>Wael</t>
  </si>
  <si>
    <t>Osama</t>
  </si>
  <si>
    <t>Said</t>
  </si>
  <si>
    <t>Yehia</t>
  </si>
  <si>
    <t>Zakaria</t>
  </si>
  <si>
    <t>Salah</t>
  </si>
  <si>
    <t>Reda</t>
  </si>
  <si>
    <t>Hatem</t>
  </si>
  <si>
    <t>Magdy</t>
  </si>
  <si>
    <t>Atef</t>
  </si>
  <si>
    <t>Fouad</t>
  </si>
  <si>
    <t>Galal</t>
  </si>
  <si>
    <t>Lotfy</t>
  </si>
  <si>
    <t>Abdelrahman</t>
  </si>
  <si>
    <t>Abdallah</t>
  </si>
  <si>
    <t>Abdelaziz</t>
  </si>
  <si>
    <t>Abdelhamed</t>
  </si>
  <si>
    <t>Abdelnasser</t>
  </si>
  <si>
    <t>Abdelghany</t>
  </si>
  <si>
    <t>Abdelkader</t>
  </si>
  <si>
    <t>Abdelrahim</t>
  </si>
  <si>
    <t>Abdelmoneim</t>
  </si>
  <si>
    <t>Abdelwahab</t>
  </si>
  <si>
    <t>Fatma</t>
  </si>
  <si>
    <t>Amina</t>
  </si>
  <si>
    <t>Mariam</t>
  </si>
  <si>
    <t>Sara</t>
  </si>
  <si>
    <t>Nour</t>
  </si>
  <si>
    <t>Aya</t>
  </si>
  <si>
    <t>Esraa</t>
  </si>
  <si>
    <t>Hoda</t>
  </si>
  <si>
    <t>Dina</t>
  </si>
  <si>
    <t>Menna</t>
  </si>
  <si>
    <t>Yasmin</t>
  </si>
  <si>
    <t>Salma</t>
  </si>
  <si>
    <t>Hanan</t>
  </si>
  <si>
    <t>Reem</t>
  </si>
  <si>
    <t>Noha</t>
  </si>
  <si>
    <t>Mai</t>
  </si>
  <si>
    <t>Nada</t>
  </si>
  <si>
    <t>Rana</t>
  </si>
  <si>
    <t>Heba</t>
  </si>
  <si>
    <t>Shimaa</t>
  </si>
  <si>
    <t>Riham</t>
  </si>
  <si>
    <t>Eman</t>
  </si>
  <si>
    <t>Asmaa</t>
  </si>
  <si>
    <t>Nesma</t>
  </si>
  <si>
    <t>Samar</t>
  </si>
  <si>
    <t>Soha</t>
  </si>
  <si>
    <t>Doaa</t>
  </si>
  <si>
    <t>Abeer</t>
  </si>
  <si>
    <t>Amira</t>
  </si>
  <si>
    <t>Ghada</t>
  </si>
  <si>
    <t>Manar</t>
  </si>
  <si>
    <t>Inas</t>
  </si>
  <si>
    <t>Lobna</t>
  </si>
  <si>
    <t>Mona</t>
  </si>
  <si>
    <t>Rasha</t>
  </si>
  <si>
    <t>Naglaa</t>
  </si>
  <si>
    <t>Shaimaa</t>
  </si>
  <si>
    <t>Hager</t>
  </si>
  <si>
    <t>Nahla</t>
  </si>
  <si>
    <t>Sondos</t>
  </si>
  <si>
    <t>Malak</t>
  </si>
  <si>
    <t>Farah</t>
  </si>
  <si>
    <t>Jana</t>
  </si>
  <si>
    <t>Rawan</t>
  </si>
  <si>
    <t>Ayaat</t>
  </si>
  <si>
    <t>Tasneem</t>
  </si>
  <si>
    <t>Marwa</t>
  </si>
  <si>
    <t>Rania</t>
  </si>
  <si>
    <t>Nermin</t>
  </si>
  <si>
    <t>Dalia</t>
  </si>
  <si>
    <t>Samah</t>
  </si>
  <si>
    <t>Walaa</t>
  </si>
  <si>
    <t>Yara</t>
  </si>
  <si>
    <t>Laila</t>
  </si>
  <si>
    <t>Hind</t>
  </si>
  <si>
    <t>Basma</t>
  </si>
  <si>
    <t>Bayan</t>
  </si>
  <si>
    <t>Hala</t>
  </si>
  <si>
    <t>Lamia</t>
  </si>
  <si>
    <t>Alaa</t>
  </si>
  <si>
    <t>Sawsan</t>
  </si>
  <si>
    <t>Nahed</t>
  </si>
  <si>
    <t>Hossam</t>
  </si>
  <si>
    <t>Kamal</t>
  </si>
  <si>
    <t>Refaat</t>
  </si>
  <si>
    <t>Sabry</t>
  </si>
  <si>
    <t>Shawky</t>
  </si>
  <si>
    <t>Hamdy</t>
  </si>
  <si>
    <t>Bakr</t>
  </si>
  <si>
    <t>Tarek</t>
  </si>
  <si>
    <t>Safaa</t>
  </si>
  <si>
    <t>Maged</t>
  </si>
  <si>
    <t>Mervat</t>
  </si>
  <si>
    <t>Ehab</t>
  </si>
  <si>
    <t>Tharwat</t>
  </si>
  <si>
    <t>Younes</t>
  </si>
  <si>
    <t>Anas</t>
  </si>
  <si>
    <t>Belal</t>
  </si>
  <si>
    <t>Hazem</t>
  </si>
  <si>
    <t>English Grades</t>
  </si>
  <si>
    <t>German Grades</t>
  </si>
  <si>
    <t>sales</t>
  </si>
  <si>
    <t>return</t>
  </si>
  <si>
    <t>Achievment</t>
  </si>
  <si>
    <t>Achievment %%%%</t>
  </si>
  <si>
    <t>%%</t>
  </si>
  <si>
    <t>&gt;50%</t>
  </si>
  <si>
    <t>2k</t>
  </si>
  <si>
    <t>&gt;90%</t>
  </si>
  <si>
    <t>3k</t>
  </si>
  <si>
    <t>&gt;=100%</t>
  </si>
  <si>
    <t>4k</t>
  </si>
  <si>
    <t>increase</t>
  </si>
  <si>
    <t>sales Person</t>
  </si>
  <si>
    <t>return &gt; sales</t>
  </si>
  <si>
    <t>bad sales</t>
  </si>
  <si>
    <t>Sales &gt; return</t>
  </si>
  <si>
    <t>Pass</t>
  </si>
  <si>
    <t>Students</t>
  </si>
  <si>
    <t>gpa</t>
  </si>
  <si>
    <t>GPA</t>
  </si>
  <si>
    <t>halfLoad</t>
  </si>
  <si>
    <t>Advisor</t>
  </si>
  <si>
    <t>&lt;=2</t>
  </si>
  <si>
    <t>&lt;=2.5</t>
  </si>
  <si>
    <t>&gt;2.5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</si>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</sst>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0" fontId="5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1" xfId="3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2" fontId="1" fillId="0" borderId="1" xfId="3" applyNumberFormat="1" applyBorder="1" applyAlignment="1">
      <alignment horizontal="center"/>
    </xf>
    <xf numFmtId="2" fontId="0" fillId="0" borderId="0" xfId="0" applyNumberFormat="1"/>
    <xf numFmtId="0" fontId="0" fillId="0" borderId="6" xfId="0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/>
    </xf>
    <xf numFmtId="2" fontId="4" fillId="2" borderId="3" xfId="2" applyNumberFormat="1" applyFont="1" applyFill="1" applyBorder="1" applyAlignment="1">
      <alignment horizontal="center"/>
    </xf>
    <xf numFmtId="0" fontId="4" fillId="2" borderId="7" xfId="2" applyFont="1" applyFill="1" applyBorder="1" applyAlignment="1">
      <alignment horizontal="center"/>
    </xf>
    <xf numFmtId="2" fontId="0" fillId="0" borderId="1" xfId="3" applyNumberFormat="1" applyFont="1" applyBorder="1" applyAlignment="1">
      <alignment horizontal="center"/>
    </xf>
  </cellXfs>
  <cellStyles count="6">
    <cellStyle name="Comma 2" xfId="5" xr:uid="{2536DA86-B9A2-435A-A1B9-76C500A1B16C}"/>
    <cellStyle name="Normal" xfId="0" builtinId="0"/>
    <cellStyle name="Normal 2 2" xfId="4" xr:uid="{C468FB92-B209-4847-9E42-845F10E44318}"/>
    <cellStyle name="Normal 3 2" xfId="2" xr:uid="{C754EEC0-3172-4B25-8C11-220B4EDC2160}"/>
    <cellStyle name="Normal 4 3" xfId="3" xr:uid="{2CEE8CF8-8D94-466D-959B-04105AE9BFEB}"/>
    <cellStyle name="Percent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ADD445-CB85-41F4-B398-AE284808899C}" name="Table1" displayName="Table1" ref="B2:D182" totalsRowShown="0" headerRowDxfId="23" headerRowBorderDxfId="22" tableBorderDxfId="21">
  <autoFilter ref="B2:D182" xr:uid="{54ADD445-CB85-41F4-B398-AE284808899C}"/>
  <tableColumns count="3">
    <tableColumn id="1" xr3:uid="{A1C8974D-8D46-4207-A227-689A1F3D3070}" name="Name" dataDxfId="20"/>
    <tableColumn id="2" xr3:uid="{3C80509B-1FF3-4E23-BBC3-6D3F576DB9FE}" name="English Grades" dataDxfId="19"/>
    <tableColumn id="3" xr3:uid="{90848DFC-1BCA-41AE-8DCB-567D8D4312F6}" name="German Grades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688860-4198-42A8-BAC6-18EE4614DA7C}" name="Table3" displayName="Table3" ref="C2:G127" totalsRowShown="0" headerRowDxfId="17" headerRowBorderDxfId="16" tableBorderDxfId="15" headerRowCellStyle="Normal 3 2">
  <autoFilter ref="C2:G127" xr:uid="{9F688860-4198-42A8-BAC6-18EE4614DA7C}"/>
  <tableColumns count="5">
    <tableColumn id="1" xr3:uid="{BE5FABE0-B898-46A4-B1AA-B4F228BF89AE}" name="Name" dataDxfId="14"/>
    <tableColumn id="4" xr3:uid="{750E1048-92D6-4331-B3FF-C842398C2C9D}" name="Target" dataDxfId="13" dataCellStyle="Normal 4 3">
      <calculatedColumnFormula>14681*1.5</calculatedColumnFormula>
    </tableColumn>
    <tableColumn id="5" xr3:uid="{967ECC03-3379-48E2-9886-95EE21903ED7}" name="Actual" dataDxfId="12" dataCellStyle="Normal 4 3"/>
    <tableColumn id="6" xr3:uid="{DD9C6C2B-5C07-47F1-9B9F-F8D14CC2D2D2}" name="Achievment %%%%" dataDxfId="11" dataCellStyle="Percent"/>
    <tableColumn id="7" xr3:uid="{D65140BA-6A9E-4F66-A083-AFB6D7906705}" name="Achievment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E6929C-B774-45B1-95DB-906F082FCCF2}" name="Table35" displayName="Table35" ref="B2:F127" totalsRowShown="0" headerRowDxfId="9" headerRowBorderDxfId="8" tableBorderDxfId="7" headerRowCellStyle="Normal 3 2">
  <autoFilter ref="B2:F127" xr:uid="{57E6929C-B774-45B1-95DB-906F082FCCF2}"/>
  <tableColumns count="5">
    <tableColumn id="1" xr3:uid="{F15B72A7-64E1-44D1-B013-364543058E43}" name="Name" dataDxfId="6"/>
    <tableColumn id="4" xr3:uid="{DE2F3F33-4272-4B14-8879-DF0F3BEB3AEC}" name="Target" dataDxfId="5" dataCellStyle="Normal 4 3">
      <calculatedColumnFormula>14681*1.5</calculatedColumnFormula>
    </tableColumn>
    <tableColumn id="5" xr3:uid="{7B0DD77E-73F8-4B3E-AB93-2DD32CF9DB34}" name="Actual" dataDxfId="4" dataCellStyle="Normal 4 3"/>
    <tableColumn id="6" xr3:uid="{EA9B6F53-2930-41D8-BA0B-6455A255BE6E}" name="Achievment %%%%" dataDxfId="3" dataCellStyle="Percent"/>
    <tableColumn id="7" xr3:uid="{F4B05752-D3B6-4F65-BF80-ABD54C4688F8}" name="Salary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A2D899-60A6-4036-8345-321983152B9E}" name="Table5" displayName="Table5" ref="H5:I8" totalsRowShown="0">
  <autoFilter ref="H5:I8" xr:uid="{63A2D899-60A6-4036-8345-321983152B9E}"/>
  <tableColumns count="2">
    <tableColumn id="1" xr3:uid="{0821AC59-D52B-4FFD-B907-9CF5C7777E77}" name="%%"/>
    <tableColumn id="2" xr3:uid="{0C72C1B9-A571-44ED-B161-BC83EF5DF483}" name="increa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085BB6-F224-4186-BB85-01CDFC2EBA66}" name="Table2" displayName="Table2" ref="A1:C10" totalsRowShown="0">
  <autoFilter ref="A1:C10" xr:uid="{6C085BB6-F224-4186-BB85-01CDFC2EBA66}"/>
  <tableColumns count="3">
    <tableColumn id="1" xr3:uid="{FCFDF66C-534B-4E25-86F6-22BD8B64B46E}" name="sales Person"/>
    <tableColumn id="2" xr3:uid="{D3AA4E44-3F41-4DED-96C9-7455EDA87FFD}" name="sales" dataDxfId="1"/>
    <tableColumn id="3" xr3:uid="{5AEC018C-4456-4A99-AFCA-0B62F787D9AE}" name="return">
      <calculatedColumnFormula>B2*0.5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EB92BE-1741-4ACE-B8E0-EEC65E36A08A}" name="Table6" displayName="Table6" ref="H12:I13" totalsRowShown="0">
  <autoFilter ref="H12:I13" xr:uid="{0CEB92BE-1741-4ACE-B8E0-EEC65E36A08A}"/>
  <tableColumns count="2">
    <tableColumn id="1" xr3:uid="{7A20EECA-F2A2-4750-AFF1-222C5EC9E273}" name="return &gt; sales"/>
    <tableColumn id="2" xr3:uid="{0A1AB4E9-92EC-4233-9816-DBA3A01EAD62}" name="Sales &gt; retur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3F5C4F-3FC2-4F66-94AA-0727C27ED00F}" name="Table610" displayName="Table610" ref="A15:B16" totalsRowShown="0">
  <autoFilter ref="A15:B16" xr:uid="{B13F5C4F-3FC2-4F66-94AA-0727C27ED00F}"/>
  <tableColumns count="2">
    <tableColumn id="1" xr3:uid="{601C3CA1-35F0-4710-A910-3F9E0DD930A9}" name="return &gt; sales"/>
    <tableColumn id="2" xr3:uid="{A5ED925A-9FC7-4354-BD68-D5EE59E6D6D5}" name="Sales &gt; retur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CF6A72-64E1-4D12-BAE6-7E89BAE7385C}" name="Table28" displayName="Table28" ref="A1:C20" totalsRowShown="0">
  <autoFilter ref="A1:C20" xr:uid="{D7CF6A72-64E1-4D12-BAE6-7E89BAE7385C}"/>
  <tableColumns count="3">
    <tableColumn id="1" xr3:uid="{B32318F2-79A9-414A-9184-1D06A25A6F08}" name="Students"/>
    <tableColumn id="2" xr3:uid="{32340E3F-089D-41C0-928A-529A73EFD503}" name="gpa" dataDxfId="0"/>
    <tableColumn id="3" xr3:uid="{28887DEE-7588-4B4E-A864-244DC72D9548}" name="Typ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A160770-F71F-4D6A-82A6-EDB307039AB1}" name="Table811" displayName="Table811" ref="E9:F12" totalsRowShown="0">
  <autoFilter ref="E9:F12" xr:uid="{AA160770-F71F-4D6A-82A6-EDB307039AB1}"/>
  <tableColumns count="2">
    <tableColumn id="1" xr3:uid="{404F49D1-79B6-4872-845B-6BC4C465BD1B}" name="GPA"/>
    <tableColumn id="2" xr3:uid="{BB84DC58-2048-45EA-8110-3B7458845CD4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60B1F-0743-40FD-9CA3-EDCCE1EF1788}">
  <dimension ref="B2:J182"/>
  <sheetViews>
    <sheetView tabSelected="1" zoomScaleNormal="100" workbookViewId="0">
      <selection activeCell="J21" sqref="J21"/>
    </sheetView>
  </sheetViews>
  <sheetFormatPr defaultRowHeight="14.4" x14ac:dyDescent="0.3"/>
  <cols>
    <col min="2" max="2" width="21.44140625" bestFit="1" customWidth="1"/>
    <col min="3" max="3" width="25.44140625" customWidth="1"/>
    <col min="4" max="4" width="26.109375" customWidth="1"/>
    <col min="10" max="10" width="67.6640625" bestFit="1" customWidth="1"/>
  </cols>
  <sheetData>
    <row r="2" spans="2:10" x14ac:dyDescent="0.3">
      <c r="B2" s="6" t="s">
        <v>0</v>
      </c>
      <c r="C2" s="6" t="s">
        <v>184</v>
      </c>
      <c r="D2" s="6" t="s">
        <v>185</v>
      </c>
    </row>
    <row r="3" spans="2:10" x14ac:dyDescent="0.3">
      <c r="B3" s="5" t="s">
        <v>45</v>
      </c>
      <c r="C3" s="1">
        <v>55</v>
      </c>
      <c r="D3" s="1">
        <v>11</v>
      </c>
    </row>
    <row r="4" spans="2:10" x14ac:dyDescent="0.3">
      <c r="B4" s="5" t="s">
        <v>46</v>
      </c>
      <c r="C4" s="1">
        <v>22</v>
      </c>
      <c r="D4" s="1">
        <v>18</v>
      </c>
    </row>
    <row r="5" spans="2:10" x14ac:dyDescent="0.3">
      <c r="B5" s="5" t="s">
        <v>47</v>
      </c>
      <c r="C5" s="1">
        <v>25</v>
      </c>
      <c r="D5" s="1">
        <v>24</v>
      </c>
    </row>
    <row r="6" spans="2:10" ht="21" x14ac:dyDescent="0.3">
      <c r="B6" s="5" t="s">
        <v>48</v>
      </c>
      <c r="C6" s="1">
        <v>66</v>
      </c>
      <c r="D6" s="1">
        <v>11</v>
      </c>
      <c r="J6" s="9"/>
    </row>
    <row r="7" spans="2:10" ht="18" x14ac:dyDescent="0.35">
      <c r="B7" s="5" t="s">
        <v>49</v>
      </c>
      <c r="C7" s="1">
        <v>20</v>
      </c>
      <c r="D7" s="1">
        <v>23</v>
      </c>
      <c r="J7" s="10"/>
    </row>
    <row r="8" spans="2:10" x14ac:dyDescent="0.3">
      <c r="B8" s="5" t="s">
        <v>50</v>
      </c>
      <c r="C8" s="1">
        <v>30</v>
      </c>
      <c r="D8" s="1">
        <v>38</v>
      </c>
    </row>
    <row r="9" spans="2:10" x14ac:dyDescent="0.3">
      <c r="B9" s="5" t="s">
        <v>51</v>
      </c>
      <c r="C9" s="1">
        <v>10</v>
      </c>
      <c r="D9" s="1">
        <v>16</v>
      </c>
    </row>
    <row r="10" spans="2:10" x14ac:dyDescent="0.3">
      <c r="B10" s="5" t="s">
        <v>52</v>
      </c>
      <c r="C10" s="1">
        <v>55</v>
      </c>
      <c r="D10" s="1">
        <v>25</v>
      </c>
    </row>
    <row r="11" spans="2:10" x14ac:dyDescent="0.3">
      <c r="B11" s="5" t="s">
        <v>53</v>
      </c>
      <c r="C11" s="1">
        <v>88</v>
      </c>
      <c r="D11" s="1">
        <v>25</v>
      </c>
    </row>
    <row r="12" spans="2:10" x14ac:dyDescent="0.3">
      <c r="B12" s="5" t="s">
        <v>54</v>
      </c>
      <c r="C12" s="1">
        <v>44</v>
      </c>
      <c r="D12" s="1">
        <v>22</v>
      </c>
    </row>
    <row r="13" spans="2:10" x14ac:dyDescent="0.3">
      <c r="B13" s="5" t="s">
        <v>55</v>
      </c>
      <c r="C13" s="1">
        <v>99</v>
      </c>
      <c r="D13" s="1">
        <v>36</v>
      </c>
    </row>
    <row r="14" spans="2:10" x14ac:dyDescent="0.3">
      <c r="B14" s="5" t="s">
        <v>56</v>
      </c>
      <c r="C14" s="1">
        <v>100</v>
      </c>
      <c r="D14" s="1">
        <v>37</v>
      </c>
    </row>
    <row r="15" spans="2:10" x14ac:dyDescent="0.3">
      <c r="B15" s="5" t="s">
        <v>57</v>
      </c>
      <c r="C15" s="1">
        <v>26</v>
      </c>
      <c r="D15" s="1">
        <v>18</v>
      </c>
    </row>
    <row r="16" spans="2:10" x14ac:dyDescent="0.3">
      <c r="B16" s="5" t="s">
        <v>58</v>
      </c>
      <c r="C16" s="1">
        <v>30</v>
      </c>
      <c r="D16" s="1">
        <v>36</v>
      </c>
    </row>
    <row r="17" spans="2:4" x14ac:dyDescent="0.3">
      <c r="B17" s="5" t="s">
        <v>59</v>
      </c>
      <c r="C17" s="1">
        <v>11</v>
      </c>
      <c r="D17" s="1">
        <v>18</v>
      </c>
    </row>
    <row r="18" spans="2:4" x14ac:dyDescent="0.3">
      <c r="B18" s="5" t="s">
        <v>60</v>
      </c>
      <c r="C18" s="1">
        <v>18</v>
      </c>
      <c r="D18" s="1">
        <v>31</v>
      </c>
    </row>
    <row r="19" spans="2:4" x14ac:dyDescent="0.3">
      <c r="B19" s="5" t="s">
        <v>61</v>
      </c>
      <c r="C19" s="1">
        <v>24</v>
      </c>
      <c r="D19" s="1">
        <v>53</v>
      </c>
    </row>
    <row r="20" spans="2:4" x14ac:dyDescent="0.3">
      <c r="B20" s="5" t="s">
        <v>62</v>
      </c>
      <c r="C20" s="1">
        <v>11</v>
      </c>
      <c r="D20" s="1">
        <v>26</v>
      </c>
    </row>
    <row r="21" spans="2:4" x14ac:dyDescent="0.3">
      <c r="B21" s="5" t="s">
        <v>63</v>
      </c>
      <c r="C21" s="1">
        <v>23</v>
      </c>
      <c r="D21" s="1">
        <v>20</v>
      </c>
    </row>
    <row r="22" spans="2:4" x14ac:dyDescent="0.3">
      <c r="B22" s="5" t="s">
        <v>64</v>
      </c>
      <c r="C22" s="1">
        <v>38</v>
      </c>
      <c r="D22" s="1">
        <v>43</v>
      </c>
    </row>
    <row r="23" spans="2:4" x14ac:dyDescent="0.3">
      <c r="B23" s="5" t="s">
        <v>65</v>
      </c>
      <c r="C23" s="1">
        <v>16</v>
      </c>
      <c r="D23" s="1">
        <v>27</v>
      </c>
    </row>
    <row r="24" spans="2:4" x14ac:dyDescent="0.3">
      <c r="B24" s="5" t="s">
        <v>66</v>
      </c>
      <c r="C24" s="1">
        <v>25</v>
      </c>
      <c r="D24" s="1">
        <v>58</v>
      </c>
    </row>
    <row r="25" spans="2:4" x14ac:dyDescent="0.3">
      <c r="B25" s="5" t="s">
        <v>67</v>
      </c>
      <c r="C25" s="1">
        <v>25</v>
      </c>
      <c r="D25" s="1">
        <v>19</v>
      </c>
    </row>
    <row r="26" spans="2:4" x14ac:dyDescent="0.3">
      <c r="B26" s="5" t="s">
        <v>68</v>
      </c>
      <c r="C26" s="1">
        <v>22</v>
      </c>
      <c r="D26" s="1">
        <v>55</v>
      </c>
    </row>
    <row r="27" spans="2:4" x14ac:dyDescent="0.3">
      <c r="B27" s="5" t="s">
        <v>69</v>
      </c>
      <c r="C27" s="1">
        <v>36</v>
      </c>
      <c r="D27" s="1">
        <v>29</v>
      </c>
    </row>
    <row r="28" spans="2:4" x14ac:dyDescent="0.3">
      <c r="B28" s="5" t="s">
        <v>70</v>
      </c>
      <c r="C28" s="1">
        <v>37</v>
      </c>
      <c r="D28" s="1">
        <v>59</v>
      </c>
    </row>
    <row r="29" spans="2:4" x14ac:dyDescent="0.3">
      <c r="B29" s="5" t="s">
        <v>71</v>
      </c>
      <c r="C29" s="1">
        <v>18</v>
      </c>
      <c r="D29" s="1">
        <v>41</v>
      </c>
    </row>
    <row r="30" spans="2:4" x14ac:dyDescent="0.3">
      <c r="B30" s="5" t="s">
        <v>72</v>
      </c>
      <c r="C30" s="1">
        <v>40</v>
      </c>
      <c r="D30" s="1">
        <v>48</v>
      </c>
    </row>
    <row r="31" spans="2:4" x14ac:dyDescent="0.3">
      <c r="B31" s="5" t="s">
        <v>73</v>
      </c>
      <c r="C31" s="1">
        <v>15</v>
      </c>
      <c r="D31" s="1">
        <v>56</v>
      </c>
    </row>
    <row r="32" spans="2:4" x14ac:dyDescent="0.3">
      <c r="B32" s="5" t="s">
        <v>74</v>
      </c>
      <c r="C32" s="1">
        <v>24</v>
      </c>
      <c r="D32" s="1">
        <v>56</v>
      </c>
    </row>
    <row r="33" spans="2:4" x14ac:dyDescent="0.3">
      <c r="B33" s="5" t="s">
        <v>75</v>
      </c>
      <c r="C33" s="1">
        <v>22</v>
      </c>
      <c r="D33" s="1">
        <v>11</v>
      </c>
    </row>
    <row r="34" spans="2:4" x14ac:dyDescent="0.3">
      <c r="B34" s="5" t="s">
        <v>76</v>
      </c>
      <c r="C34" s="1">
        <v>29</v>
      </c>
      <c r="D34" s="1">
        <v>50</v>
      </c>
    </row>
    <row r="35" spans="2:4" x14ac:dyDescent="0.3">
      <c r="B35" s="5" t="s">
        <v>77</v>
      </c>
      <c r="C35" s="1">
        <v>33</v>
      </c>
      <c r="D35" s="1">
        <v>48</v>
      </c>
    </row>
    <row r="36" spans="2:4" x14ac:dyDescent="0.3">
      <c r="B36" s="5" t="s">
        <v>78</v>
      </c>
      <c r="C36" s="1">
        <v>31</v>
      </c>
      <c r="D36" s="1">
        <v>48</v>
      </c>
    </row>
    <row r="37" spans="2:4" x14ac:dyDescent="0.3">
      <c r="B37" s="5" t="s">
        <v>79</v>
      </c>
      <c r="C37" s="1">
        <v>37</v>
      </c>
      <c r="D37" s="1">
        <v>19</v>
      </c>
    </row>
    <row r="38" spans="2:4" x14ac:dyDescent="0.3">
      <c r="B38" s="5" t="s">
        <v>80</v>
      </c>
      <c r="C38" s="1">
        <v>36</v>
      </c>
      <c r="D38" s="1">
        <v>42</v>
      </c>
    </row>
    <row r="39" spans="2:4" x14ac:dyDescent="0.3">
      <c r="B39" s="5" t="s">
        <v>81</v>
      </c>
      <c r="C39" s="1">
        <v>31</v>
      </c>
      <c r="D39" s="1">
        <v>29</v>
      </c>
    </row>
    <row r="40" spans="2:4" x14ac:dyDescent="0.3">
      <c r="B40" s="5" t="s">
        <v>82</v>
      </c>
      <c r="C40" s="1">
        <v>38</v>
      </c>
      <c r="D40" s="1">
        <v>18</v>
      </c>
    </row>
    <row r="41" spans="2:4" x14ac:dyDescent="0.3">
      <c r="B41" s="5" t="s">
        <v>83</v>
      </c>
      <c r="C41" s="1">
        <v>32</v>
      </c>
      <c r="D41" s="1">
        <v>48</v>
      </c>
    </row>
    <row r="42" spans="2:4" x14ac:dyDescent="0.3">
      <c r="B42" s="5" t="s">
        <v>84</v>
      </c>
      <c r="C42" s="1">
        <v>36</v>
      </c>
      <c r="D42" s="1">
        <v>37</v>
      </c>
    </row>
    <row r="43" spans="2:4" x14ac:dyDescent="0.3">
      <c r="B43" s="5" t="s">
        <v>85</v>
      </c>
      <c r="C43" s="1">
        <v>32</v>
      </c>
      <c r="D43" s="1">
        <v>51</v>
      </c>
    </row>
    <row r="44" spans="2:4" x14ac:dyDescent="0.3">
      <c r="B44" s="5" t="s">
        <v>86</v>
      </c>
      <c r="C44" s="1">
        <v>35</v>
      </c>
      <c r="D44" s="1">
        <v>41</v>
      </c>
    </row>
    <row r="45" spans="2:4" x14ac:dyDescent="0.3">
      <c r="B45" s="5" t="s">
        <v>87</v>
      </c>
      <c r="C45" s="1">
        <v>14</v>
      </c>
      <c r="D45" s="1">
        <v>45</v>
      </c>
    </row>
    <row r="46" spans="2:4" x14ac:dyDescent="0.3">
      <c r="B46" s="5" t="s">
        <v>88</v>
      </c>
      <c r="C46" s="1">
        <v>27</v>
      </c>
      <c r="D46" s="1">
        <v>27</v>
      </c>
    </row>
    <row r="47" spans="2:4" x14ac:dyDescent="0.3">
      <c r="B47" s="5" t="s">
        <v>89</v>
      </c>
      <c r="C47" s="1">
        <v>30</v>
      </c>
      <c r="D47" s="1">
        <v>14</v>
      </c>
    </row>
    <row r="48" spans="2:4" x14ac:dyDescent="0.3">
      <c r="B48" s="5" t="s">
        <v>90</v>
      </c>
      <c r="C48" s="1">
        <v>24</v>
      </c>
      <c r="D48" s="1">
        <v>49</v>
      </c>
    </row>
    <row r="49" spans="2:4" x14ac:dyDescent="0.3">
      <c r="B49" s="5" t="s">
        <v>91</v>
      </c>
      <c r="C49" s="1">
        <v>15</v>
      </c>
      <c r="D49" s="1">
        <v>42</v>
      </c>
    </row>
    <row r="50" spans="2:4" x14ac:dyDescent="0.3">
      <c r="B50" s="5" t="s">
        <v>92</v>
      </c>
      <c r="C50" s="1">
        <v>11</v>
      </c>
      <c r="D50" s="1">
        <v>19</v>
      </c>
    </row>
    <row r="51" spans="2:4" x14ac:dyDescent="0.3">
      <c r="B51" s="5" t="s">
        <v>93</v>
      </c>
      <c r="C51" s="1">
        <v>33</v>
      </c>
      <c r="D51" s="1">
        <v>33</v>
      </c>
    </row>
    <row r="52" spans="2:4" x14ac:dyDescent="0.3">
      <c r="B52" s="5" t="s">
        <v>94</v>
      </c>
      <c r="C52" s="1">
        <v>27</v>
      </c>
      <c r="D52" s="1">
        <v>54</v>
      </c>
    </row>
    <row r="53" spans="2:4" x14ac:dyDescent="0.3">
      <c r="B53" s="5" t="s">
        <v>95</v>
      </c>
      <c r="C53" s="1">
        <v>20</v>
      </c>
      <c r="D53" s="1">
        <v>50</v>
      </c>
    </row>
    <row r="54" spans="2:4" x14ac:dyDescent="0.3">
      <c r="B54" s="5" t="s">
        <v>96</v>
      </c>
      <c r="C54" s="1">
        <v>28</v>
      </c>
      <c r="D54" s="1">
        <v>27</v>
      </c>
    </row>
    <row r="55" spans="2:4" x14ac:dyDescent="0.3">
      <c r="B55" s="5" t="s">
        <v>97</v>
      </c>
      <c r="C55" s="1">
        <v>14</v>
      </c>
      <c r="D55" s="1">
        <v>12</v>
      </c>
    </row>
    <row r="56" spans="2:4" x14ac:dyDescent="0.3">
      <c r="B56" s="5" t="s">
        <v>98</v>
      </c>
      <c r="C56" s="1">
        <v>34</v>
      </c>
      <c r="D56" s="1">
        <v>47</v>
      </c>
    </row>
    <row r="57" spans="2:4" x14ac:dyDescent="0.3">
      <c r="B57" s="5" t="s">
        <v>99</v>
      </c>
      <c r="C57" s="1">
        <v>40</v>
      </c>
      <c r="D57" s="1">
        <v>16</v>
      </c>
    </row>
    <row r="58" spans="2:4" x14ac:dyDescent="0.3">
      <c r="B58" s="5" t="s">
        <v>100</v>
      </c>
      <c r="C58" s="1">
        <v>26</v>
      </c>
      <c r="D58" s="1">
        <v>26</v>
      </c>
    </row>
    <row r="59" spans="2:4" x14ac:dyDescent="0.3">
      <c r="B59" s="5" t="s">
        <v>101</v>
      </c>
      <c r="C59" s="1">
        <v>24</v>
      </c>
      <c r="D59" s="1">
        <v>15</v>
      </c>
    </row>
    <row r="60" spans="2:4" x14ac:dyDescent="0.3">
      <c r="B60" s="5" t="s">
        <v>102</v>
      </c>
      <c r="C60" s="1">
        <v>23</v>
      </c>
      <c r="D60" s="1">
        <v>55</v>
      </c>
    </row>
    <row r="61" spans="2:4" x14ac:dyDescent="0.3">
      <c r="B61" s="5" t="s">
        <v>103</v>
      </c>
      <c r="C61" s="1">
        <v>29</v>
      </c>
      <c r="D61" s="1">
        <v>16</v>
      </c>
    </row>
    <row r="62" spans="2:4" x14ac:dyDescent="0.3">
      <c r="B62" s="5" t="s">
        <v>104</v>
      </c>
      <c r="C62" s="1">
        <v>24</v>
      </c>
      <c r="D62" s="1">
        <v>47</v>
      </c>
    </row>
    <row r="63" spans="2:4" x14ac:dyDescent="0.3">
      <c r="B63" s="5" t="s">
        <v>105</v>
      </c>
      <c r="C63" s="1">
        <v>14</v>
      </c>
      <c r="D63" s="1">
        <v>57</v>
      </c>
    </row>
    <row r="64" spans="2:4" x14ac:dyDescent="0.3">
      <c r="B64" s="5" t="s">
        <v>106</v>
      </c>
      <c r="C64" s="1">
        <v>28</v>
      </c>
      <c r="D64" s="1">
        <v>16</v>
      </c>
    </row>
    <row r="65" spans="2:4" x14ac:dyDescent="0.3">
      <c r="B65" s="5" t="s">
        <v>107</v>
      </c>
      <c r="C65" s="1">
        <v>17</v>
      </c>
      <c r="D65" s="1">
        <v>12</v>
      </c>
    </row>
    <row r="66" spans="2:4" x14ac:dyDescent="0.3">
      <c r="B66" s="5" t="s">
        <v>108</v>
      </c>
      <c r="C66" s="1">
        <v>22</v>
      </c>
      <c r="D66" s="1">
        <v>36</v>
      </c>
    </row>
    <row r="67" spans="2:4" x14ac:dyDescent="0.3">
      <c r="B67" s="5" t="s">
        <v>109</v>
      </c>
      <c r="C67" s="1">
        <v>23</v>
      </c>
      <c r="D67" s="1">
        <v>21</v>
      </c>
    </row>
    <row r="68" spans="2:4" x14ac:dyDescent="0.3">
      <c r="B68" s="5" t="s">
        <v>110</v>
      </c>
      <c r="C68" s="1">
        <v>22</v>
      </c>
      <c r="D68" s="1">
        <v>48</v>
      </c>
    </row>
    <row r="69" spans="2:4" x14ac:dyDescent="0.3">
      <c r="B69" s="5" t="s">
        <v>111</v>
      </c>
      <c r="C69" s="1">
        <v>39</v>
      </c>
      <c r="D69" s="1">
        <v>46</v>
      </c>
    </row>
    <row r="70" spans="2:4" x14ac:dyDescent="0.3">
      <c r="B70" s="5" t="s">
        <v>112</v>
      </c>
      <c r="C70" s="1">
        <v>25</v>
      </c>
      <c r="D70" s="1">
        <v>57</v>
      </c>
    </row>
    <row r="71" spans="2:4" x14ac:dyDescent="0.3">
      <c r="B71" s="5" t="s">
        <v>113</v>
      </c>
      <c r="C71" s="1">
        <v>14</v>
      </c>
      <c r="D71" s="1">
        <v>22</v>
      </c>
    </row>
    <row r="72" spans="2:4" x14ac:dyDescent="0.3">
      <c r="B72" s="5" t="s">
        <v>114</v>
      </c>
      <c r="C72" s="1">
        <v>11</v>
      </c>
      <c r="D72" s="1">
        <v>37</v>
      </c>
    </row>
    <row r="73" spans="2:4" x14ac:dyDescent="0.3">
      <c r="B73" s="5" t="s">
        <v>115</v>
      </c>
      <c r="C73" s="1">
        <v>32</v>
      </c>
      <c r="D73" s="1">
        <v>33</v>
      </c>
    </row>
    <row r="74" spans="2:4" x14ac:dyDescent="0.3">
      <c r="B74" s="5" t="s">
        <v>116</v>
      </c>
      <c r="C74" s="1">
        <v>10</v>
      </c>
      <c r="D74" s="1">
        <v>27</v>
      </c>
    </row>
    <row r="75" spans="2:4" x14ac:dyDescent="0.3">
      <c r="B75" s="5" t="s">
        <v>117</v>
      </c>
      <c r="C75" s="1">
        <v>38</v>
      </c>
      <c r="D75" s="1">
        <v>18</v>
      </c>
    </row>
    <row r="76" spans="2:4" x14ac:dyDescent="0.3">
      <c r="B76" s="5" t="s">
        <v>118</v>
      </c>
      <c r="C76" s="1">
        <v>13</v>
      </c>
      <c r="D76" s="1">
        <v>21</v>
      </c>
    </row>
    <row r="77" spans="2:4" x14ac:dyDescent="0.3">
      <c r="B77" s="5" t="s">
        <v>119</v>
      </c>
      <c r="C77" s="1">
        <v>28</v>
      </c>
      <c r="D77" s="1">
        <v>14</v>
      </c>
    </row>
    <row r="78" spans="2:4" x14ac:dyDescent="0.3">
      <c r="B78" s="5" t="s">
        <v>120</v>
      </c>
      <c r="C78" s="1">
        <v>22</v>
      </c>
      <c r="D78" s="1">
        <v>16</v>
      </c>
    </row>
    <row r="79" spans="2:4" x14ac:dyDescent="0.3">
      <c r="B79" s="5" t="s">
        <v>121</v>
      </c>
      <c r="C79" s="1">
        <v>23</v>
      </c>
      <c r="D79" s="1">
        <v>41</v>
      </c>
    </row>
    <row r="80" spans="2:4" x14ac:dyDescent="0.3">
      <c r="B80" s="5" t="s">
        <v>122</v>
      </c>
      <c r="C80" s="1">
        <v>20</v>
      </c>
      <c r="D80" s="1">
        <v>13</v>
      </c>
    </row>
    <row r="81" spans="2:4" x14ac:dyDescent="0.3">
      <c r="B81" s="5" t="s">
        <v>123</v>
      </c>
      <c r="C81" s="1">
        <v>37</v>
      </c>
      <c r="D81" s="1">
        <v>23</v>
      </c>
    </row>
    <row r="82" spans="2:4" x14ac:dyDescent="0.3">
      <c r="B82" s="5" t="s">
        <v>124</v>
      </c>
      <c r="C82" s="1">
        <v>19</v>
      </c>
      <c r="D82" s="1">
        <v>23</v>
      </c>
    </row>
    <row r="83" spans="2:4" x14ac:dyDescent="0.3">
      <c r="B83" s="5" t="s">
        <v>125</v>
      </c>
      <c r="C83" s="1">
        <v>26</v>
      </c>
      <c r="D83" s="1">
        <v>46</v>
      </c>
    </row>
    <row r="84" spans="2:4" x14ac:dyDescent="0.3">
      <c r="B84" s="5" t="s">
        <v>126</v>
      </c>
      <c r="C84" s="1">
        <v>17</v>
      </c>
      <c r="D84" s="1">
        <v>45</v>
      </c>
    </row>
    <row r="85" spans="2:4" x14ac:dyDescent="0.3">
      <c r="B85" s="5" t="s">
        <v>127</v>
      </c>
      <c r="C85" s="1">
        <v>21</v>
      </c>
      <c r="D85" s="1">
        <v>22</v>
      </c>
    </row>
    <row r="86" spans="2:4" x14ac:dyDescent="0.3">
      <c r="B86" s="5" t="s">
        <v>128</v>
      </c>
      <c r="C86" s="1">
        <v>37</v>
      </c>
      <c r="D86" s="1">
        <v>52</v>
      </c>
    </row>
    <row r="87" spans="2:4" x14ac:dyDescent="0.3">
      <c r="B87" s="5" t="s">
        <v>129</v>
      </c>
      <c r="C87" s="1">
        <v>26</v>
      </c>
      <c r="D87" s="1">
        <v>55</v>
      </c>
    </row>
    <row r="88" spans="2:4" x14ac:dyDescent="0.3">
      <c r="B88" s="5" t="s">
        <v>130</v>
      </c>
      <c r="C88" s="1">
        <v>16</v>
      </c>
      <c r="D88" s="1">
        <v>43</v>
      </c>
    </row>
    <row r="89" spans="2:4" x14ac:dyDescent="0.3">
      <c r="B89" s="5" t="s">
        <v>131</v>
      </c>
      <c r="C89" s="1">
        <v>36</v>
      </c>
      <c r="D89" s="1">
        <v>24</v>
      </c>
    </row>
    <row r="90" spans="2:4" x14ac:dyDescent="0.3">
      <c r="B90" s="5" t="s">
        <v>132</v>
      </c>
      <c r="C90" s="1">
        <v>34</v>
      </c>
      <c r="D90" s="1">
        <v>10</v>
      </c>
    </row>
    <row r="91" spans="2:4" x14ac:dyDescent="0.3">
      <c r="B91" s="5" t="s">
        <v>133</v>
      </c>
      <c r="C91" s="1">
        <v>24</v>
      </c>
      <c r="D91" s="1">
        <v>25</v>
      </c>
    </row>
    <row r="92" spans="2:4" x14ac:dyDescent="0.3">
      <c r="B92" s="5" t="s">
        <v>134</v>
      </c>
      <c r="C92" s="1">
        <v>18</v>
      </c>
      <c r="D92" s="1">
        <v>15</v>
      </c>
    </row>
    <row r="93" spans="2:4" x14ac:dyDescent="0.3">
      <c r="B93" s="5" t="s">
        <v>135</v>
      </c>
      <c r="C93" s="1">
        <v>28</v>
      </c>
      <c r="D93" s="1">
        <v>12</v>
      </c>
    </row>
    <row r="94" spans="2:4" x14ac:dyDescent="0.3">
      <c r="B94" s="5" t="s">
        <v>136</v>
      </c>
      <c r="C94" s="1">
        <v>33</v>
      </c>
      <c r="D94" s="1">
        <v>35</v>
      </c>
    </row>
    <row r="95" spans="2:4" x14ac:dyDescent="0.3">
      <c r="B95" s="5" t="s">
        <v>137</v>
      </c>
      <c r="C95" s="1">
        <v>29</v>
      </c>
      <c r="D95" s="1">
        <v>45</v>
      </c>
    </row>
    <row r="96" spans="2:4" x14ac:dyDescent="0.3">
      <c r="B96" s="5" t="s">
        <v>138</v>
      </c>
      <c r="C96" s="1">
        <v>19</v>
      </c>
      <c r="D96" s="1">
        <v>55</v>
      </c>
    </row>
    <row r="97" spans="2:4" x14ac:dyDescent="0.3">
      <c r="B97" s="5" t="s">
        <v>139</v>
      </c>
      <c r="C97" s="1">
        <v>37</v>
      </c>
      <c r="D97" s="1">
        <v>56</v>
      </c>
    </row>
    <row r="98" spans="2:4" x14ac:dyDescent="0.3">
      <c r="B98" s="5" t="s">
        <v>140</v>
      </c>
      <c r="C98" s="1">
        <v>14</v>
      </c>
      <c r="D98" s="1">
        <v>40</v>
      </c>
    </row>
    <row r="99" spans="2:4" x14ac:dyDescent="0.3">
      <c r="B99" s="5" t="s">
        <v>141</v>
      </c>
      <c r="C99" s="1">
        <v>37</v>
      </c>
      <c r="D99" s="1">
        <v>22</v>
      </c>
    </row>
    <row r="100" spans="2:4" x14ac:dyDescent="0.3">
      <c r="B100" s="5" t="s">
        <v>142</v>
      </c>
      <c r="C100" s="1">
        <v>36</v>
      </c>
      <c r="D100" s="1">
        <v>30</v>
      </c>
    </row>
    <row r="101" spans="2:4" x14ac:dyDescent="0.3">
      <c r="B101" s="5" t="s">
        <v>143</v>
      </c>
      <c r="C101" s="1">
        <v>27</v>
      </c>
      <c r="D101" s="1">
        <v>10</v>
      </c>
    </row>
    <row r="102" spans="2:4" x14ac:dyDescent="0.3">
      <c r="B102" s="5" t="s">
        <v>144</v>
      </c>
      <c r="C102" s="1">
        <v>34</v>
      </c>
      <c r="D102" s="1">
        <v>40</v>
      </c>
    </row>
    <row r="103" spans="2:4" x14ac:dyDescent="0.3">
      <c r="B103" s="5" t="s">
        <v>145</v>
      </c>
      <c r="C103" s="1">
        <v>21</v>
      </c>
      <c r="D103" s="1">
        <v>43</v>
      </c>
    </row>
    <row r="104" spans="2:4" x14ac:dyDescent="0.3">
      <c r="B104" s="5" t="s">
        <v>146</v>
      </c>
      <c r="C104" s="1">
        <v>15</v>
      </c>
      <c r="D104" s="1">
        <v>32</v>
      </c>
    </row>
    <row r="105" spans="2:4" x14ac:dyDescent="0.3">
      <c r="B105" s="5" t="s">
        <v>147</v>
      </c>
      <c r="C105" s="1">
        <v>39</v>
      </c>
      <c r="D105" s="1">
        <v>47</v>
      </c>
    </row>
    <row r="106" spans="2:4" x14ac:dyDescent="0.3">
      <c r="B106" s="5" t="s">
        <v>148</v>
      </c>
      <c r="C106" s="1">
        <v>15</v>
      </c>
      <c r="D106" s="1">
        <v>13</v>
      </c>
    </row>
    <row r="107" spans="2:4" x14ac:dyDescent="0.3">
      <c r="B107" s="5" t="s">
        <v>149</v>
      </c>
      <c r="C107" s="1">
        <v>19</v>
      </c>
      <c r="D107" s="1">
        <v>51</v>
      </c>
    </row>
    <row r="108" spans="2:4" x14ac:dyDescent="0.3">
      <c r="B108" s="5" t="s">
        <v>150</v>
      </c>
      <c r="C108" s="1">
        <v>15</v>
      </c>
      <c r="D108" s="1">
        <v>47</v>
      </c>
    </row>
    <row r="109" spans="2:4" x14ac:dyDescent="0.3">
      <c r="B109" s="5" t="s">
        <v>151</v>
      </c>
      <c r="C109" s="1">
        <v>27</v>
      </c>
      <c r="D109" s="1">
        <v>20</v>
      </c>
    </row>
    <row r="110" spans="2:4" x14ac:dyDescent="0.3">
      <c r="B110" s="5" t="s">
        <v>152</v>
      </c>
      <c r="C110" s="1">
        <v>12</v>
      </c>
      <c r="D110" s="1">
        <v>52</v>
      </c>
    </row>
    <row r="111" spans="2:4" x14ac:dyDescent="0.3">
      <c r="B111" s="5" t="s">
        <v>153</v>
      </c>
      <c r="C111" s="1">
        <v>34</v>
      </c>
      <c r="D111" s="1">
        <v>34</v>
      </c>
    </row>
    <row r="112" spans="2:4" x14ac:dyDescent="0.3">
      <c r="B112" s="5" t="s">
        <v>154</v>
      </c>
      <c r="C112" s="1">
        <v>35</v>
      </c>
      <c r="D112" s="1">
        <v>14</v>
      </c>
    </row>
    <row r="113" spans="2:4" x14ac:dyDescent="0.3">
      <c r="B113" s="5" t="s">
        <v>155</v>
      </c>
      <c r="C113" s="1">
        <v>27</v>
      </c>
      <c r="D113" s="1">
        <v>46</v>
      </c>
    </row>
    <row r="114" spans="2:4" x14ac:dyDescent="0.3">
      <c r="B114" s="5" t="s">
        <v>156</v>
      </c>
      <c r="C114" s="1">
        <v>29</v>
      </c>
      <c r="D114" s="1">
        <v>13</v>
      </c>
    </row>
    <row r="115" spans="2:4" x14ac:dyDescent="0.3">
      <c r="B115" s="5" t="s">
        <v>157</v>
      </c>
      <c r="C115" s="1">
        <v>39</v>
      </c>
      <c r="D115" s="1">
        <v>11</v>
      </c>
    </row>
    <row r="116" spans="2:4" x14ac:dyDescent="0.3">
      <c r="B116" s="5" t="s">
        <v>158</v>
      </c>
      <c r="C116" s="1">
        <v>33</v>
      </c>
      <c r="D116" s="1">
        <v>16</v>
      </c>
    </row>
    <row r="117" spans="2:4" x14ac:dyDescent="0.3">
      <c r="B117" s="5" t="s">
        <v>159</v>
      </c>
      <c r="C117" s="1">
        <v>14</v>
      </c>
      <c r="D117" s="1">
        <v>33</v>
      </c>
    </row>
    <row r="118" spans="2:4" x14ac:dyDescent="0.3">
      <c r="B118" s="5" t="s">
        <v>160</v>
      </c>
      <c r="C118" s="1">
        <v>22</v>
      </c>
      <c r="D118" s="1">
        <v>48</v>
      </c>
    </row>
    <row r="119" spans="2:4" x14ac:dyDescent="0.3">
      <c r="B119" s="5" t="s">
        <v>161</v>
      </c>
      <c r="C119" s="1">
        <v>30</v>
      </c>
      <c r="D119" s="1">
        <v>35</v>
      </c>
    </row>
    <row r="120" spans="2:4" x14ac:dyDescent="0.3">
      <c r="B120" s="5" t="s">
        <v>162</v>
      </c>
      <c r="C120" s="1">
        <v>36</v>
      </c>
      <c r="D120" s="1">
        <v>13</v>
      </c>
    </row>
    <row r="121" spans="2:4" x14ac:dyDescent="0.3">
      <c r="B121" s="5" t="s">
        <v>163</v>
      </c>
      <c r="C121" s="1">
        <v>25</v>
      </c>
      <c r="D121" s="1">
        <v>32</v>
      </c>
    </row>
    <row r="122" spans="2:4" x14ac:dyDescent="0.3">
      <c r="B122" s="5" t="s">
        <v>164</v>
      </c>
      <c r="C122" s="1">
        <v>20</v>
      </c>
      <c r="D122" s="1">
        <v>18</v>
      </c>
    </row>
    <row r="123" spans="2:4" x14ac:dyDescent="0.3">
      <c r="B123" s="5" t="s">
        <v>165</v>
      </c>
      <c r="C123" s="1">
        <v>37</v>
      </c>
      <c r="D123" s="1">
        <v>59</v>
      </c>
    </row>
    <row r="124" spans="2:4" x14ac:dyDescent="0.3">
      <c r="B124" s="5" t="s">
        <v>166</v>
      </c>
      <c r="C124" s="1">
        <v>35</v>
      </c>
      <c r="D124" s="1">
        <v>55</v>
      </c>
    </row>
    <row r="125" spans="2:4" x14ac:dyDescent="0.3">
      <c r="B125" s="5" t="s">
        <v>167</v>
      </c>
      <c r="C125" s="1">
        <v>20</v>
      </c>
      <c r="D125" s="1">
        <v>19</v>
      </c>
    </row>
    <row r="126" spans="2:4" x14ac:dyDescent="0.3">
      <c r="B126" s="5" t="s">
        <v>168</v>
      </c>
      <c r="C126" s="1">
        <v>20</v>
      </c>
      <c r="D126" s="1">
        <v>54</v>
      </c>
    </row>
    <row r="127" spans="2:4" x14ac:dyDescent="0.3">
      <c r="B127" s="5" t="s">
        <v>169</v>
      </c>
      <c r="C127" s="1">
        <v>27</v>
      </c>
      <c r="D127" s="1">
        <v>41</v>
      </c>
    </row>
    <row r="128" spans="2:4" x14ac:dyDescent="0.3">
      <c r="B128" s="5" t="s">
        <v>170</v>
      </c>
      <c r="C128" s="1">
        <v>24</v>
      </c>
      <c r="D128" s="1">
        <v>33</v>
      </c>
    </row>
    <row r="129" spans="2:4" x14ac:dyDescent="0.3">
      <c r="B129" s="5" t="s">
        <v>171</v>
      </c>
      <c r="C129" s="1">
        <v>25</v>
      </c>
      <c r="D129" s="1">
        <v>37</v>
      </c>
    </row>
    <row r="130" spans="2:4" x14ac:dyDescent="0.3">
      <c r="B130" s="5" t="s">
        <v>172</v>
      </c>
      <c r="C130" s="1">
        <v>33</v>
      </c>
      <c r="D130" s="1">
        <v>44</v>
      </c>
    </row>
    <row r="131" spans="2:4" x14ac:dyDescent="0.3">
      <c r="B131" s="5" t="s">
        <v>173</v>
      </c>
      <c r="C131" s="1">
        <v>37</v>
      </c>
      <c r="D131" s="1">
        <v>20</v>
      </c>
    </row>
    <row r="132" spans="2:4" x14ac:dyDescent="0.3">
      <c r="B132" s="5" t="s">
        <v>174</v>
      </c>
      <c r="C132" s="1">
        <v>26</v>
      </c>
      <c r="D132" s="1">
        <v>42</v>
      </c>
    </row>
    <row r="133" spans="2:4" x14ac:dyDescent="0.3">
      <c r="B133" s="5" t="s">
        <v>175</v>
      </c>
      <c r="C133" s="1">
        <v>15</v>
      </c>
      <c r="D133" s="1">
        <v>52</v>
      </c>
    </row>
    <row r="134" spans="2:4" x14ac:dyDescent="0.3">
      <c r="B134" s="5" t="s">
        <v>176</v>
      </c>
      <c r="C134" s="1">
        <v>24</v>
      </c>
      <c r="D134" s="1">
        <v>47</v>
      </c>
    </row>
    <row r="135" spans="2:4" x14ac:dyDescent="0.3">
      <c r="B135" s="5" t="s">
        <v>177</v>
      </c>
      <c r="C135" s="1">
        <v>14</v>
      </c>
      <c r="D135" s="1">
        <v>56</v>
      </c>
    </row>
    <row r="136" spans="2:4" x14ac:dyDescent="0.3">
      <c r="B136" s="5" t="s">
        <v>178</v>
      </c>
      <c r="C136" s="1">
        <v>17</v>
      </c>
      <c r="D136" s="1">
        <v>29</v>
      </c>
    </row>
    <row r="137" spans="2:4" x14ac:dyDescent="0.3">
      <c r="B137" s="5" t="s">
        <v>179</v>
      </c>
      <c r="C137" s="1">
        <v>18</v>
      </c>
      <c r="D137" s="1">
        <v>19</v>
      </c>
    </row>
    <row r="138" spans="2:4" x14ac:dyDescent="0.3">
      <c r="B138" s="5" t="s">
        <v>48</v>
      </c>
      <c r="C138" s="1">
        <v>12</v>
      </c>
      <c r="D138" s="1">
        <v>13</v>
      </c>
    </row>
    <row r="139" spans="2:4" x14ac:dyDescent="0.3">
      <c r="B139" s="5" t="s">
        <v>180</v>
      </c>
      <c r="C139" s="1">
        <v>22</v>
      </c>
      <c r="D139" s="1">
        <v>38</v>
      </c>
    </row>
    <row r="140" spans="2:4" x14ac:dyDescent="0.3">
      <c r="B140" s="5" t="s">
        <v>181</v>
      </c>
      <c r="C140" s="1">
        <v>10</v>
      </c>
      <c r="D140" s="1">
        <v>38</v>
      </c>
    </row>
    <row r="141" spans="2:4" x14ac:dyDescent="0.3">
      <c r="B141" s="5" t="s">
        <v>182</v>
      </c>
      <c r="C141" s="1">
        <v>29</v>
      </c>
      <c r="D141" s="1">
        <v>16</v>
      </c>
    </row>
    <row r="142" spans="2:4" x14ac:dyDescent="0.3">
      <c r="B142" s="5" t="s">
        <v>183</v>
      </c>
      <c r="C142" s="1">
        <v>16</v>
      </c>
      <c r="D142" s="1">
        <v>20</v>
      </c>
    </row>
    <row r="143" spans="2:4" x14ac:dyDescent="0.3">
      <c r="B143" s="4" t="s">
        <v>1</v>
      </c>
      <c r="C143" s="1">
        <v>26</v>
      </c>
      <c r="D143" s="1">
        <v>32</v>
      </c>
    </row>
    <row r="144" spans="2:4" x14ac:dyDescent="0.3">
      <c r="B144" s="4" t="s">
        <v>2</v>
      </c>
      <c r="C144" s="1">
        <v>26</v>
      </c>
      <c r="D144" s="1">
        <v>57</v>
      </c>
    </row>
    <row r="145" spans="2:4" x14ac:dyDescent="0.3">
      <c r="B145" s="4" t="s">
        <v>3</v>
      </c>
      <c r="C145" s="1">
        <v>20</v>
      </c>
      <c r="D145" s="1">
        <v>12</v>
      </c>
    </row>
    <row r="146" spans="2:4" x14ac:dyDescent="0.3">
      <c r="B146" s="4" t="s">
        <v>4</v>
      </c>
      <c r="C146" s="1">
        <v>12</v>
      </c>
      <c r="D146" s="1">
        <v>19</v>
      </c>
    </row>
    <row r="147" spans="2:4" x14ac:dyDescent="0.3">
      <c r="B147" s="4" t="s">
        <v>5</v>
      </c>
      <c r="C147" s="1">
        <v>23</v>
      </c>
      <c r="D147" s="1">
        <v>14</v>
      </c>
    </row>
    <row r="148" spans="2:4" x14ac:dyDescent="0.3">
      <c r="B148" s="4" t="s">
        <v>6</v>
      </c>
      <c r="C148" s="1">
        <v>16</v>
      </c>
      <c r="D148" s="1">
        <v>17</v>
      </c>
    </row>
    <row r="149" spans="2:4" x14ac:dyDescent="0.3">
      <c r="B149" s="4" t="s">
        <v>7</v>
      </c>
      <c r="C149" s="1">
        <v>38</v>
      </c>
      <c r="D149" s="1">
        <v>15</v>
      </c>
    </row>
    <row r="150" spans="2:4" x14ac:dyDescent="0.3">
      <c r="B150" s="4" t="s">
        <v>8</v>
      </c>
      <c r="C150" s="1">
        <v>29</v>
      </c>
      <c r="D150" s="1">
        <v>10</v>
      </c>
    </row>
    <row r="151" spans="2:4" x14ac:dyDescent="0.3">
      <c r="B151" s="4" t="s">
        <v>9</v>
      </c>
      <c r="C151" s="1">
        <v>25</v>
      </c>
      <c r="D151" s="1">
        <v>43</v>
      </c>
    </row>
    <row r="152" spans="2:4" x14ac:dyDescent="0.3">
      <c r="B152" s="4" t="s">
        <v>10</v>
      </c>
      <c r="C152" s="1">
        <v>26</v>
      </c>
      <c r="D152" s="1">
        <v>60</v>
      </c>
    </row>
    <row r="153" spans="2:4" x14ac:dyDescent="0.3">
      <c r="B153" s="4" t="s">
        <v>11</v>
      </c>
      <c r="C153" s="1">
        <v>22</v>
      </c>
      <c r="D153" s="1">
        <v>33</v>
      </c>
    </row>
    <row r="154" spans="2:4" x14ac:dyDescent="0.3">
      <c r="B154" s="4" t="s">
        <v>12</v>
      </c>
      <c r="C154" s="1">
        <v>29</v>
      </c>
      <c r="D154" s="1">
        <v>14</v>
      </c>
    </row>
    <row r="155" spans="2:4" x14ac:dyDescent="0.3">
      <c r="B155" s="4" t="s">
        <v>13</v>
      </c>
      <c r="C155" s="1">
        <v>33</v>
      </c>
      <c r="D155" s="1">
        <v>28</v>
      </c>
    </row>
    <row r="156" spans="2:4" x14ac:dyDescent="0.3">
      <c r="B156" s="4" t="s">
        <v>14</v>
      </c>
      <c r="C156" s="1">
        <v>27</v>
      </c>
      <c r="D156" s="1">
        <v>46</v>
      </c>
    </row>
    <row r="157" spans="2:4" x14ac:dyDescent="0.3">
      <c r="B157" s="4" t="s">
        <v>15</v>
      </c>
      <c r="C157" s="1">
        <v>12</v>
      </c>
      <c r="D157" s="1">
        <v>55</v>
      </c>
    </row>
    <row r="158" spans="2:4" x14ac:dyDescent="0.3">
      <c r="B158" s="4" t="s">
        <v>16</v>
      </c>
      <c r="C158" s="1">
        <v>32</v>
      </c>
      <c r="D158" s="1">
        <v>11</v>
      </c>
    </row>
    <row r="159" spans="2:4" x14ac:dyDescent="0.3">
      <c r="B159" s="4" t="s">
        <v>17</v>
      </c>
      <c r="C159" s="1">
        <v>30</v>
      </c>
      <c r="D159" s="1">
        <v>41</v>
      </c>
    </row>
    <row r="160" spans="2:4" x14ac:dyDescent="0.3">
      <c r="B160" s="4" t="s">
        <v>18</v>
      </c>
      <c r="C160" s="1">
        <v>25</v>
      </c>
      <c r="D160" s="1">
        <v>28</v>
      </c>
    </row>
    <row r="161" spans="2:4" x14ac:dyDescent="0.3">
      <c r="B161" s="4" t="s">
        <v>19</v>
      </c>
      <c r="C161" s="1">
        <v>14</v>
      </c>
      <c r="D161" s="1">
        <v>60</v>
      </c>
    </row>
    <row r="162" spans="2:4" x14ac:dyDescent="0.3">
      <c r="B162" s="4" t="s">
        <v>20</v>
      </c>
      <c r="C162" s="1">
        <v>18</v>
      </c>
      <c r="D162" s="1">
        <v>21</v>
      </c>
    </row>
    <row r="163" spans="2:4" x14ac:dyDescent="0.3">
      <c r="B163" s="4" t="s">
        <v>21</v>
      </c>
      <c r="C163" s="1">
        <v>35</v>
      </c>
      <c r="D163" s="1">
        <v>52</v>
      </c>
    </row>
    <row r="164" spans="2:4" x14ac:dyDescent="0.3">
      <c r="B164" s="4" t="s">
        <v>22</v>
      </c>
      <c r="C164" s="1">
        <v>22</v>
      </c>
      <c r="D164" s="1">
        <v>11</v>
      </c>
    </row>
    <row r="165" spans="2:4" x14ac:dyDescent="0.3">
      <c r="B165" s="4" t="s">
        <v>23</v>
      </c>
      <c r="C165" s="1">
        <v>34</v>
      </c>
      <c r="D165" s="1">
        <v>37</v>
      </c>
    </row>
    <row r="166" spans="2:4" x14ac:dyDescent="0.3">
      <c r="B166" s="4" t="s">
        <v>24</v>
      </c>
      <c r="C166" s="1">
        <v>32</v>
      </c>
      <c r="D166" s="1">
        <v>20</v>
      </c>
    </row>
    <row r="167" spans="2:4" x14ac:dyDescent="0.3">
      <c r="B167" s="4" t="s">
        <v>25</v>
      </c>
      <c r="C167" s="1">
        <v>38</v>
      </c>
      <c r="D167" s="1">
        <v>17</v>
      </c>
    </row>
    <row r="168" spans="2:4" x14ac:dyDescent="0.3">
      <c r="B168" s="4" t="s">
        <v>26</v>
      </c>
      <c r="C168" s="1">
        <v>15</v>
      </c>
      <c r="D168" s="1">
        <v>52</v>
      </c>
    </row>
    <row r="169" spans="2:4" x14ac:dyDescent="0.3">
      <c r="B169" s="4" t="s">
        <v>27</v>
      </c>
      <c r="C169" s="1">
        <v>34</v>
      </c>
      <c r="D169" s="1">
        <v>59</v>
      </c>
    </row>
    <row r="170" spans="2:4" x14ac:dyDescent="0.3">
      <c r="B170" s="4" t="s">
        <v>28</v>
      </c>
      <c r="C170" s="1">
        <v>36</v>
      </c>
      <c r="D170" s="1">
        <v>14</v>
      </c>
    </row>
    <row r="171" spans="2:4" x14ac:dyDescent="0.3">
      <c r="B171" s="4" t="s">
        <v>29</v>
      </c>
      <c r="C171" s="1">
        <v>26</v>
      </c>
      <c r="D171" s="1">
        <v>60</v>
      </c>
    </row>
    <row r="172" spans="2:4" x14ac:dyDescent="0.3">
      <c r="B172" s="4" t="s">
        <v>30</v>
      </c>
      <c r="C172" s="1">
        <v>27</v>
      </c>
      <c r="D172" s="1">
        <v>40</v>
      </c>
    </row>
    <row r="173" spans="2:4" x14ac:dyDescent="0.3">
      <c r="B173" s="4" t="s">
        <v>31</v>
      </c>
      <c r="C173" s="1">
        <v>28</v>
      </c>
      <c r="D173" s="1">
        <v>40</v>
      </c>
    </row>
    <row r="174" spans="2:4" x14ac:dyDescent="0.3">
      <c r="B174" s="4" t="s">
        <v>32</v>
      </c>
      <c r="C174" s="1">
        <v>10</v>
      </c>
      <c r="D174" s="1">
        <v>46</v>
      </c>
    </row>
    <row r="175" spans="2:4" x14ac:dyDescent="0.3">
      <c r="B175" s="4" t="s">
        <v>33</v>
      </c>
      <c r="C175" s="1">
        <v>16</v>
      </c>
      <c r="D175" s="1">
        <v>54</v>
      </c>
    </row>
    <row r="176" spans="2:4" x14ac:dyDescent="0.3">
      <c r="B176" s="4" t="s">
        <v>34</v>
      </c>
      <c r="C176" s="1">
        <v>19</v>
      </c>
      <c r="D176" s="1">
        <v>24</v>
      </c>
    </row>
    <row r="177" spans="2:4" x14ac:dyDescent="0.3">
      <c r="B177" s="4" t="s">
        <v>35</v>
      </c>
      <c r="C177" s="1">
        <v>39</v>
      </c>
      <c r="D177" s="1">
        <v>40</v>
      </c>
    </row>
    <row r="178" spans="2:4" x14ac:dyDescent="0.3">
      <c r="B178" s="4" t="s">
        <v>36</v>
      </c>
      <c r="C178" s="1">
        <v>16</v>
      </c>
      <c r="D178" s="1">
        <v>55</v>
      </c>
    </row>
    <row r="179" spans="2:4" x14ac:dyDescent="0.3">
      <c r="B179" s="4" t="s">
        <v>37</v>
      </c>
      <c r="C179" s="1">
        <v>16</v>
      </c>
      <c r="D179" s="1">
        <v>38</v>
      </c>
    </row>
    <row r="180" spans="2:4" x14ac:dyDescent="0.3">
      <c r="B180" s="4" t="s">
        <v>38</v>
      </c>
      <c r="C180" s="1">
        <v>10</v>
      </c>
      <c r="D180" s="1">
        <v>13</v>
      </c>
    </row>
    <row r="181" spans="2:4" x14ac:dyDescent="0.3">
      <c r="B181" s="4" t="s">
        <v>39</v>
      </c>
      <c r="C181" s="1">
        <v>35</v>
      </c>
      <c r="D181" s="1">
        <v>47</v>
      </c>
    </row>
    <row r="182" spans="2:4" x14ac:dyDescent="0.3">
      <c r="B182" s="4" t="s">
        <v>40</v>
      </c>
      <c r="C182" s="1">
        <v>15</v>
      </c>
      <c r="D182" s="1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F97A-7F44-4A91-9EFF-06A86F725A4A}">
  <dimension ref="C2:L182"/>
  <sheetViews>
    <sheetView workbookViewId="0">
      <selection activeCell="C3" sqref="C3:E127"/>
    </sheetView>
  </sheetViews>
  <sheetFormatPr defaultRowHeight="14.4" x14ac:dyDescent="0.3"/>
  <cols>
    <col min="3" max="3" width="14.109375" customWidth="1"/>
    <col min="4" max="4" width="13" style="15" customWidth="1"/>
    <col min="5" max="5" width="13.109375" customWidth="1"/>
    <col min="6" max="6" width="22" bestFit="1" customWidth="1"/>
    <col min="7" max="7" width="18" bestFit="1" customWidth="1"/>
  </cols>
  <sheetData>
    <row r="2" spans="3:7" x14ac:dyDescent="0.3">
      <c r="C2" s="17" t="s">
        <v>0</v>
      </c>
      <c r="D2" s="19" t="s">
        <v>41</v>
      </c>
      <c r="E2" s="18" t="s">
        <v>42</v>
      </c>
      <c r="F2" s="18" t="s">
        <v>189</v>
      </c>
      <c r="G2" s="20" t="s">
        <v>188</v>
      </c>
    </row>
    <row r="3" spans="3:7" x14ac:dyDescent="0.3">
      <c r="C3" s="11" t="s">
        <v>45</v>
      </c>
      <c r="D3" s="14">
        <f t="shared" ref="D3:E34" si="0">14681*1.5</f>
        <v>22021.5</v>
      </c>
      <c r="E3" s="14">
        <f>SUM(Table3[[#This Row],[Target]])</f>
        <v>22021.5</v>
      </c>
      <c r="F3" s="3"/>
      <c r="G3" s="16"/>
    </row>
    <row r="4" spans="3:7" x14ac:dyDescent="0.3">
      <c r="C4" s="12" t="s">
        <v>46</v>
      </c>
      <c r="D4" s="14">
        <f t="shared" si="0"/>
        <v>22021.5</v>
      </c>
      <c r="E4" s="21">
        <f>22021.5*2.5</f>
        <v>55053.75</v>
      </c>
      <c r="F4" s="3"/>
      <c r="G4" s="16"/>
    </row>
    <row r="5" spans="3:7" x14ac:dyDescent="0.3">
      <c r="C5" s="11" t="s">
        <v>47</v>
      </c>
      <c r="D5" s="14">
        <f t="shared" si="0"/>
        <v>22021.5</v>
      </c>
      <c r="E5" s="2">
        <v>17600</v>
      </c>
      <c r="F5" s="3"/>
      <c r="G5" s="16"/>
    </row>
    <row r="6" spans="3:7" x14ac:dyDescent="0.3">
      <c r="C6" s="12" t="s">
        <v>48</v>
      </c>
      <c r="D6" s="14">
        <f t="shared" si="0"/>
        <v>22021.5</v>
      </c>
      <c r="E6" s="2">
        <v>3016</v>
      </c>
      <c r="F6" s="3"/>
      <c r="G6" s="16"/>
    </row>
    <row r="7" spans="3:7" x14ac:dyDescent="0.3">
      <c r="C7" s="11" t="s">
        <v>49</v>
      </c>
      <c r="D7" s="14">
        <f t="shared" si="0"/>
        <v>22021.5</v>
      </c>
      <c r="E7" s="2">
        <v>14686</v>
      </c>
      <c r="F7" s="3"/>
      <c r="G7" s="16"/>
    </row>
    <row r="8" spans="3:7" x14ac:dyDescent="0.3">
      <c r="C8" s="12" t="s">
        <v>50</v>
      </c>
      <c r="D8" s="14">
        <f t="shared" si="0"/>
        <v>22021.5</v>
      </c>
      <c r="E8" s="21">
        <f>22021.5*2.5</f>
        <v>55053.75</v>
      </c>
      <c r="F8" s="3"/>
      <c r="G8" s="16"/>
    </row>
    <row r="9" spans="3:7" x14ac:dyDescent="0.3">
      <c r="C9" s="11" t="s">
        <v>51</v>
      </c>
      <c r="D9" s="14">
        <f t="shared" si="0"/>
        <v>22021.5</v>
      </c>
      <c r="E9" s="2">
        <v>18370</v>
      </c>
      <c r="F9" s="3"/>
      <c r="G9" s="16"/>
    </row>
    <row r="10" spans="3:7" x14ac:dyDescent="0.3">
      <c r="C10" s="12" t="s">
        <v>52</v>
      </c>
      <c r="D10" s="14">
        <f t="shared" si="0"/>
        <v>22021.5</v>
      </c>
      <c r="E10" s="21">
        <f>22021.5*2.5</f>
        <v>55053.75</v>
      </c>
      <c r="F10" s="3"/>
      <c r="G10" s="16"/>
    </row>
    <row r="11" spans="3:7" x14ac:dyDescent="0.3">
      <c r="C11" s="11" t="s">
        <v>53</v>
      </c>
      <c r="D11" s="14">
        <f t="shared" si="0"/>
        <v>22021.5</v>
      </c>
      <c r="E11" s="2">
        <v>10531</v>
      </c>
      <c r="F11" s="3"/>
      <c r="G11" s="16"/>
    </row>
    <row r="12" spans="3:7" x14ac:dyDescent="0.3">
      <c r="C12" s="12" t="s">
        <v>54</v>
      </c>
      <c r="D12" s="14">
        <f t="shared" si="0"/>
        <v>22021.5</v>
      </c>
      <c r="E12" s="21">
        <f>22021.5*2.5</f>
        <v>55053.75</v>
      </c>
      <c r="F12" s="3"/>
      <c r="G12" s="16"/>
    </row>
    <row r="13" spans="3:7" x14ac:dyDescent="0.3">
      <c r="C13" s="11" t="s">
        <v>55</v>
      </c>
      <c r="D13" s="14">
        <f t="shared" si="0"/>
        <v>22021.5</v>
      </c>
      <c r="E13" s="14">
        <f t="shared" si="0"/>
        <v>22021.5</v>
      </c>
      <c r="F13" s="3"/>
      <c r="G13" s="16"/>
    </row>
    <row r="14" spans="3:7" x14ac:dyDescent="0.3">
      <c r="C14" s="12" t="s">
        <v>56</v>
      </c>
      <c r="D14" s="14">
        <f t="shared" si="0"/>
        <v>22021.5</v>
      </c>
      <c r="E14" s="2">
        <v>11503</v>
      </c>
      <c r="F14" s="3"/>
      <c r="G14" s="16"/>
    </row>
    <row r="15" spans="3:7" x14ac:dyDescent="0.3">
      <c r="C15" s="11" t="s">
        <v>57</v>
      </c>
      <c r="D15" s="14">
        <f t="shared" si="0"/>
        <v>22021.5</v>
      </c>
      <c r="E15" s="21">
        <f>22021.5*2.5</f>
        <v>55053.75</v>
      </c>
      <c r="F15" s="3"/>
      <c r="G15" s="16"/>
    </row>
    <row r="16" spans="3:7" x14ac:dyDescent="0.3">
      <c r="C16" s="12" t="s">
        <v>58</v>
      </c>
      <c r="D16" s="14">
        <f t="shared" si="0"/>
        <v>22021.5</v>
      </c>
      <c r="E16" s="14">
        <f t="shared" si="0"/>
        <v>22021.5</v>
      </c>
      <c r="F16" s="3"/>
      <c r="G16" s="16"/>
    </row>
    <row r="17" spans="3:7" x14ac:dyDescent="0.3">
      <c r="C17" s="11" t="s">
        <v>59</v>
      </c>
      <c r="D17" s="14">
        <f t="shared" si="0"/>
        <v>22021.5</v>
      </c>
      <c r="E17" s="2">
        <v>10931</v>
      </c>
      <c r="F17" s="3"/>
      <c r="G17" s="16"/>
    </row>
    <row r="18" spans="3:7" x14ac:dyDescent="0.3">
      <c r="C18" s="12" t="s">
        <v>60</v>
      </c>
      <c r="D18" s="14">
        <f t="shared" si="0"/>
        <v>22021.5</v>
      </c>
      <c r="E18" s="2">
        <v>19598</v>
      </c>
      <c r="F18" s="3"/>
      <c r="G18" s="16"/>
    </row>
    <row r="19" spans="3:7" x14ac:dyDescent="0.3">
      <c r="C19" s="11" t="s">
        <v>61</v>
      </c>
      <c r="D19" s="14">
        <f t="shared" si="0"/>
        <v>22021.5</v>
      </c>
      <c r="E19" s="21">
        <f>22021.5*2.5</f>
        <v>55053.75</v>
      </c>
      <c r="F19" s="3"/>
      <c r="G19" s="16"/>
    </row>
    <row r="20" spans="3:7" x14ac:dyDescent="0.3">
      <c r="C20" s="12" t="s">
        <v>62</v>
      </c>
      <c r="D20" s="14">
        <f t="shared" si="0"/>
        <v>22021.5</v>
      </c>
      <c r="E20" s="2">
        <v>14882</v>
      </c>
      <c r="F20" s="3"/>
      <c r="G20" s="16"/>
    </row>
    <row r="21" spans="3:7" x14ac:dyDescent="0.3">
      <c r="C21" s="11" t="s">
        <v>63</v>
      </c>
      <c r="D21" s="14">
        <f t="shared" si="0"/>
        <v>22021.5</v>
      </c>
      <c r="E21" s="2">
        <v>7813</v>
      </c>
      <c r="F21" s="3"/>
      <c r="G21" s="16"/>
    </row>
    <row r="22" spans="3:7" x14ac:dyDescent="0.3">
      <c r="C22" s="12" t="s">
        <v>64</v>
      </c>
      <c r="D22" s="14">
        <f t="shared" si="0"/>
        <v>22021.5</v>
      </c>
      <c r="E22" s="21">
        <f>22021.5*2.5</f>
        <v>55053.75</v>
      </c>
      <c r="F22" s="3"/>
      <c r="G22" s="16"/>
    </row>
    <row r="23" spans="3:7" x14ac:dyDescent="0.3">
      <c r="C23" s="11" t="s">
        <v>65</v>
      </c>
      <c r="D23" s="14">
        <f t="shared" si="0"/>
        <v>22021.5</v>
      </c>
      <c r="E23" s="2">
        <v>6762</v>
      </c>
      <c r="F23" s="3"/>
      <c r="G23" s="16"/>
    </row>
    <row r="24" spans="3:7" x14ac:dyDescent="0.3">
      <c r="C24" s="12" t="s">
        <v>66</v>
      </c>
      <c r="D24" s="14">
        <f t="shared" si="0"/>
        <v>22021.5</v>
      </c>
      <c r="E24" s="2">
        <v>7710</v>
      </c>
      <c r="F24" s="3"/>
      <c r="G24" s="16"/>
    </row>
    <row r="25" spans="3:7" x14ac:dyDescent="0.3">
      <c r="C25" s="11" t="s">
        <v>67</v>
      </c>
      <c r="D25" s="14">
        <f t="shared" si="0"/>
        <v>22021.5</v>
      </c>
      <c r="E25" s="2">
        <v>8722</v>
      </c>
      <c r="F25" s="3"/>
      <c r="G25" s="16"/>
    </row>
    <row r="26" spans="3:7" x14ac:dyDescent="0.3">
      <c r="C26" s="12" t="s">
        <v>68</v>
      </c>
      <c r="D26" s="14">
        <f t="shared" si="0"/>
        <v>22021.5</v>
      </c>
      <c r="E26" s="21">
        <f>22021.5*2.5</f>
        <v>55053.75</v>
      </c>
      <c r="F26" s="3"/>
      <c r="G26" s="16"/>
    </row>
    <row r="27" spans="3:7" x14ac:dyDescent="0.3">
      <c r="C27" s="11" t="s">
        <v>69</v>
      </c>
      <c r="D27" s="14">
        <f t="shared" si="0"/>
        <v>22021.5</v>
      </c>
      <c r="E27" s="2">
        <v>12840</v>
      </c>
      <c r="F27" s="3"/>
      <c r="G27" s="16"/>
    </row>
    <row r="28" spans="3:7" x14ac:dyDescent="0.3">
      <c r="C28" s="12" t="s">
        <v>70</v>
      </c>
      <c r="D28" s="14">
        <f t="shared" si="0"/>
        <v>22021.5</v>
      </c>
      <c r="E28" s="14">
        <f t="shared" si="0"/>
        <v>22021.5</v>
      </c>
      <c r="F28" s="3"/>
      <c r="G28" s="16"/>
    </row>
    <row r="29" spans="3:7" x14ac:dyDescent="0.3">
      <c r="C29" s="11" t="s">
        <v>71</v>
      </c>
      <c r="D29" s="14">
        <f t="shared" si="0"/>
        <v>22021.5</v>
      </c>
      <c r="E29" s="2">
        <v>18525</v>
      </c>
      <c r="F29" s="3"/>
      <c r="G29" s="16"/>
    </row>
    <row r="30" spans="3:7" x14ac:dyDescent="0.3">
      <c r="C30" s="12" t="s">
        <v>72</v>
      </c>
      <c r="D30" s="14">
        <f t="shared" si="0"/>
        <v>22021.5</v>
      </c>
      <c r="E30" s="2">
        <v>3783</v>
      </c>
      <c r="F30" s="3"/>
      <c r="G30" s="16"/>
    </row>
    <row r="31" spans="3:7" x14ac:dyDescent="0.3">
      <c r="C31" s="11" t="s">
        <v>73</v>
      </c>
      <c r="D31" s="14">
        <f t="shared" si="0"/>
        <v>22021.5</v>
      </c>
      <c r="E31" s="2">
        <v>19753</v>
      </c>
      <c r="F31" s="3"/>
      <c r="G31" s="16"/>
    </row>
    <row r="32" spans="3:7" x14ac:dyDescent="0.3">
      <c r="C32" s="12" t="s">
        <v>74</v>
      </c>
      <c r="D32" s="14">
        <f t="shared" si="0"/>
        <v>22021.5</v>
      </c>
      <c r="E32" s="21">
        <f>22021.5*2.5</f>
        <v>55053.75</v>
      </c>
      <c r="F32" s="3"/>
      <c r="G32" s="16"/>
    </row>
    <row r="33" spans="3:7" x14ac:dyDescent="0.3">
      <c r="C33" s="11" t="s">
        <v>75</v>
      </c>
      <c r="D33" s="14">
        <f t="shared" si="0"/>
        <v>22021.5</v>
      </c>
      <c r="E33" s="2">
        <v>19479</v>
      </c>
      <c r="F33" s="3"/>
      <c r="G33" s="16"/>
    </row>
    <row r="34" spans="3:7" x14ac:dyDescent="0.3">
      <c r="C34" s="12" t="s">
        <v>76</v>
      </c>
      <c r="D34" s="14">
        <f t="shared" si="0"/>
        <v>22021.5</v>
      </c>
      <c r="E34" s="2">
        <v>1444</v>
      </c>
      <c r="F34" s="3"/>
      <c r="G34" s="16"/>
    </row>
    <row r="35" spans="3:7" x14ac:dyDescent="0.3">
      <c r="C35" s="11" t="s">
        <v>77</v>
      </c>
      <c r="D35" s="14">
        <f t="shared" ref="D35:E66" si="1">14681*1.5</f>
        <v>22021.5</v>
      </c>
      <c r="E35" s="21">
        <f>22021.5*2.5</f>
        <v>55053.75</v>
      </c>
      <c r="F35" s="3"/>
      <c r="G35" s="16"/>
    </row>
    <row r="36" spans="3:7" x14ac:dyDescent="0.3">
      <c r="C36" s="12" t="s">
        <v>78</v>
      </c>
      <c r="D36" s="14">
        <f t="shared" si="1"/>
        <v>22021.5</v>
      </c>
      <c r="E36" s="2">
        <v>10900</v>
      </c>
      <c r="F36" s="3"/>
      <c r="G36" s="16"/>
    </row>
    <row r="37" spans="3:7" x14ac:dyDescent="0.3">
      <c r="C37" s="11" t="s">
        <v>79</v>
      </c>
      <c r="D37" s="14">
        <f t="shared" si="1"/>
        <v>22021.5</v>
      </c>
      <c r="E37" s="14">
        <f t="shared" si="1"/>
        <v>22021.5</v>
      </c>
      <c r="F37" s="3"/>
      <c r="G37" s="16"/>
    </row>
    <row r="38" spans="3:7" x14ac:dyDescent="0.3">
      <c r="C38" s="12" t="s">
        <v>80</v>
      </c>
      <c r="D38" s="14">
        <f t="shared" si="1"/>
        <v>22021.5</v>
      </c>
      <c r="E38" s="2">
        <v>19249</v>
      </c>
      <c r="F38" s="3"/>
      <c r="G38" s="16"/>
    </row>
    <row r="39" spans="3:7" x14ac:dyDescent="0.3">
      <c r="C39" s="11" t="s">
        <v>81</v>
      </c>
      <c r="D39" s="14">
        <f t="shared" si="1"/>
        <v>22021.5</v>
      </c>
      <c r="E39" s="2">
        <v>1415</v>
      </c>
      <c r="F39" s="3"/>
      <c r="G39" s="16"/>
    </row>
    <row r="40" spans="3:7" x14ac:dyDescent="0.3">
      <c r="C40" s="12" t="s">
        <v>82</v>
      </c>
      <c r="D40" s="14">
        <f t="shared" si="1"/>
        <v>22021.5</v>
      </c>
      <c r="E40" s="2">
        <v>13543</v>
      </c>
      <c r="F40" s="3"/>
      <c r="G40" s="16"/>
    </row>
    <row r="41" spans="3:7" x14ac:dyDescent="0.3">
      <c r="C41" s="11" t="s">
        <v>83</v>
      </c>
      <c r="D41" s="14">
        <f t="shared" si="1"/>
        <v>22021.5</v>
      </c>
      <c r="E41" s="21">
        <f>22021.5*2.5</f>
        <v>55053.75</v>
      </c>
      <c r="F41" s="3"/>
      <c r="G41" s="16"/>
    </row>
    <row r="42" spans="3:7" x14ac:dyDescent="0.3">
      <c r="C42" s="12" t="s">
        <v>84</v>
      </c>
      <c r="D42" s="14">
        <f t="shared" si="1"/>
        <v>22021.5</v>
      </c>
      <c r="E42" s="2">
        <v>16249</v>
      </c>
      <c r="F42" s="3"/>
      <c r="G42" s="16"/>
    </row>
    <row r="43" spans="3:7" x14ac:dyDescent="0.3">
      <c r="C43" s="11" t="s">
        <v>85</v>
      </c>
      <c r="D43" s="14">
        <f t="shared" si="1"/>
        <v>22021.5</v>
      </c>
      <c r="E43" s="2">
        <v>8481</v>
      </c>
      <c r="F43" s="3"/>
      <c r="G43" s="16"/>
    </row>
    <row r="44" spans="3:7" x14ac:dyDescent="0.3">
      <c r="C44" s="12" t="s">
        <v>86</v>
      </c>
      <c r="D44" s="14">
        <f t="shared" si="1"/>
        <v>22021.5</v>
      </c>
      <c r="E44" s="2">
        <v>18370</v>
      </c>
      <c r="F44" s="3"/>
      <c r="G44" s="16"/>
    </row>
    <row r="45" spans="3:7" x14ac:dyDescent="0.3">
      <c r="C45" s="11" t="s">
        <v>87</v>
      </c>
      <c r="D45" s="14">
        <f t="shared" si="1"/>
        <v>22021.5</v>
      </c>
      <c r="E45" s="2">
        <v>8540</v>
      </c>
      <c r="F45" s="3"/>
      <c r="G45" s="16"/>
    </row>
    <row r="46" spans="3:7" x14ac:dyDescent="0.3">
      <c r="C46" s="12" t="s">
        <v>88</v>
      </c>
      <c r="D46" s="14">
        <f t="shared" si="1"/>
        <v>22021.5</v>
      </c>
      <c r="E46" s="2">
        <v>12821</v>
      </c>
      <c r="F46" s="3"/>
      <c r="G46" s="16"/>
    </row>
    <row r="47" spans="3:7" x14ac:dyDescent="0.3">
      <c r="C47" s="11" t="s">
        <v>89</v>
      </c>
      <c r="D47" s="14">
        <f t="shared" si="1"/>
        <v>22021.5</v>
      </c>
      <c r="E47" s="2">
        <v>3659</v>
      </c>
      <c r="F47" s="3"/>
      <c r="G47" s="16"/>
    </row>
    <row r="48" spans="3:7" x14ac:dyDescent="0.3">
      <c r="C48" s="12" t="s">
        <v>90</v>
      </c>
      <c r="D48" s="14">
        <f t="shared" si="1"/>
        <v>22021.5</v>
      </c>
      <c r="E48" s="21">
        <f>22021.5*2.5</f>
        <v>55053.75</v>
      </c>
      <c r="F48" s="3"/>
      <c r="G48" s="16"/>
    </row>
    <row r="49" spans="3:12" x14ac:dyDescent="0.3">
      <c r="C49" s="11" t="s">
        <v>91</v>
      </c>
      <c r="D49" s="14">
        <f t="shared" si="1"/>
        <v>22021.5</v>
      </c>
      <c r="E49" s="2">
        <v>20382</v>
      </c>
      <c r="F49" s="3"/>
      <c r="G49" s="16"/>
    </row>
    <row r="50" spans="3:12" x14ac:dyDescent="0.3">
      <c r="C50" s="12" t="s">
        <v>92</v>
      </c>
      <c r="D50" s="14">
        <f t="shared" si="1"/>
        <v>22021.5</v>
      </c>
      <c r="E50" s="2">
        <v>2981</v>
      </c>
      <c r="F50" s="3"/>
      <c r="G50" s="16"/>
    </row>
    <row r="51" spans="3:12" x14ac:dyDescent="0.3">
      <c r="C51" s="11" t="s">
        <v>93</v>
      </c>
      <c r="D51" s="14">
        <f t="shared" si="1"/>
        <v>22021.5</v>
      </c>
      <c r="E51" s="14">
        <f t="shared" si="1"/>
        <v>22021.5</v>
      </c>
      <c r="F51" s="3"/>
      <c r="G51" s="16"/>
    </row>
    <row r="52" spans="3:12" x14ac:dyDescent="0.3">
      <c r="C52" s="12" t="s">
        <v>94</v>
      </c>
      <c r="D52" s="14">
        <f t="shared" si="1"/>
        <v>22021.5</v>
      </c>
      <c r="E52" s="2">
        <v>3966</v>
      </c>
      <c r="F52" s="3"/>
      <c r="G52" s="16"/>
    </row>
    <row r="53" spans="3:12" x14ac:dyDescent="0.3">
      <c r="C53" s="11" t="s">
        <v>95</v>
      </c>
      <c r="D53" s="14">
        <f t="shared" si="1"/>
        <v>22021.5</v>
      </c>
      <c r="E53" s="2">
        <v>3522</v>
      </c>
      <c r="F53" s="3"/>
      <c r="G53" s="16"/>
    </row>
    <row r="54" spans="3:12" x14ac:dyDescent="0.3">
      <c r="C54" s="12" t="s">
        <v>96</v>
      </c>
      <c r="D54" s="14">
        <f t="shared" si="1"/>
        <v>22021.5</v>
      </c>
      <c r="E54" s="2">
        <v>3522</v>
      </c>
      <c r="F54" s="3"/>
      <c r="G54" s="16"/>
    </row>
    <row r="55" spans="3:12" x14ac:dyDescent="0.3">
      <c r="C55" s="11" t="s">
        <v>97</v>
      </c>
      <c r="D55" s="14">
        <f t="shared" si="1"/>
        <v>22021.5</v>
      </c>
      <c r="E55" s="2">
        <v>18438</v>
      </c>
      <c r="F55" s="3"/>
      <c r="G55" s="16"/>
    </row>
    <row r="56" spans="3:12" x14ac:dyDescent="0.3">
      <c r="C56" s="12" t="s">
        <v>98</v>
      </c>
      <c r="D56" s="14">
        <f t="shared" si="1"/>
        <v>22021.5</v>
      </c>
      <c r="E56" s="2">
        <v>18457</v>
      </c>
      <c r="F56" s="3"/>
      <c r="G56" s="16"/>
    </row>
    <row r="57" spans="3:12" x14ac:dyDescent="0.3">
      <c r="C57" s="11" t="s">
        <v>99</v>
      </c>
      <c r="D57" s="14">
        <f t="shared" si="1"/>
        <v>22021.5</v>
      </c>
      <c r="E57" s="2">
        <v>17922</v>
      </c>
      <c r="F57" s="3"/>
      <c r="G57" s="16"/>
    </row>
    <row r="58" spans="3:12" x14ac:dyDescent="0.3">
      <c r="C58" s="12" t="s">
        <v>100</v>
      </c>
      <c r="D58" s="14">
        <f t="shared" si="1"/>
        <v>22021.5</v>
      </c>
      <c r="E58" s="2">
        <v>1558</v>
      </c>
      <c r="F58" s="3"/>
      <c r="G58" s="16"/>
      <c r="L58" s="21">
        <f>22021.5*2.5</f>
        <v>55053.75</v>
      </c>
    </row>
    <row r="59" spans="3:12" x14ac:dyDescent="0.3">
      <c r="C59" s="11" t="s">
        <v>101</v>
      </c>
      <c r="D59" s="14">
        <f t="shared" si="1"/>
        <v>22021.5</v>
      </c>
      <c r="E59" s="2">
        <v>5243</v>
      </c>
      <c r="F59" s="3"/>
      <c r="G59" s="16"/>
    </row>
    <row r="60" spans="3:12" x14ac:dyDescent="0.3">
      <c r="C60" s="12" t="s">
        <v>102</v>
      </c>
      <c r="D60" s="14">
        <f t="shared" si="1"/>
        <v>22021.5</v>
      </c>
      <c r="E60" s="2">
        <v>18776</v>
      </c>
      <c r="F60" s="3"/>
      <c r="G60" s="16"/>
    </row>
    <row r="61" spans="3:12" x14ac:dyDescent="0.3">
      <c r="C61" s="11" t="s">
        <v>103</v>
      </c>
      <c r="D61" s="14">
        <f t="shared" si="1"/>
        <v>22021.5</v>
      </c>
      <c r="E61" s="2">
        <v>4493</v>
      </c>
      <c r="F61" s="3"/>
      <c r="G61" s="16"/>
    </row>
    <row r="62" spans="3:12" x14ac:dyDescent="0.3">
      <c r="C62" s="12" t="s">
        <v>104</v>
      </c>
      <c r="D62" s="14">
        <f t="shared" si="1"/>
        <v>22021.5</v>
      </c>
      <c r="E62" s="14">
        <f t="shared" si="1"/>
        <v>22021.5</v>
      </c>
      <c r="F62" s="3"/>
      <c r="G62" s="16"/>
    </row>
    <row r="63" spans="3:12" x14ac:dyDescent="0.3">
      <c r="C63" s="11" t="s">
        <v>105</v>
      </c>
      <c r="D63" s="14">
        <f t="shared" si="1"/>
        <v>22021.5</v>
      </c>
      <c r="E63" s="2">
        <v>12972</v>
      </c>
      <c r="F63" s="3"/>
      <c r="G63" s="16"/>
    </row>
    <row r="64" spans="3:12" x14ac:dyDescent="0.3">
      <c r="C64" s="12" t="s">
        <v>106</v>
      </c>
      <c r="D64" s="14">
        <f t="shared" si="1"/>
        <v>22021.5</v>
      </c>
      <c r="E64" s="2">
        <v>10925</v>
      </c>
      <c r="F64" s="3"/>
      <c r="G64" s="16"/>
    </row>
    <row r="65" spans="3:7" x14ac:dyDescent="0.3">
      <c r="C65" s="11" t="s">
        <v>107</v>
      </c>
      <c r="D65" s="14">
        <f t="shared" si="1"/>
        <v>22021.5</v>
      </c>
      <c r="E65" s="2">
        <v>11911</v>
      </c>
      <c r="F65" s="3"/>
      <c r="G65" s="16"/>
    </row>
    <row r="66" spans="3:7" x14ac:dyDescent="0.3">
      <c r="C66" s="12" t="s">
        <v>108</v>
      </c>
      <c r="D66" s="14">
        <f t="shared" si="1"/>
        <v>22021.5</v>
      </c>
      <c r="E66" s="2">
        <v>18828</v>
      </c>
      <c r="F66" s="3"/>
      <c r="G66" s="16"/>
    </row>
    <row r="67" spans="3:7" x14ac:dyDescent="0.3">
      <c r="C67" s="11" t="s">
        <v>109</v>
      </c>
      <c r="D67" s="14">
        <f t="shared" ref="D67:D98" si="2">14681*1.5</f>
        <v>22021.5</v>
      </c>
      <c r="E67" s="21">
        <f>22021.5*2.5</f>
        <v>55053.75</v>
      </c>
      <c r="F67" s="3"/>
      <c r="G67" s="16"/>
    </row>
    <row r="68" spans="3:7" x14ac:dyDescent="0.3">
      <c r="C68" s="12" t="s">
        <v>110</v>
      </c>
      <c r="D68" s="14">
        <f t="shared" si="2"/>
        <v>22021.5</v>
      </c>
      <c r="E68" s="2">
        <v>17870</v>
      </c>
      <c r="F68" s="3"/>
      <c r="G68" s="16"/>
    </row>
    <row r="69" spans="3:7" x14ac:dyDescent="0.3">
      <c r="C69" s="11" t="s">
        <v>111</v>
      </c>
      <c r="D69" s="14">
        <f t="shared" si="2"/>
        <v>22021.5</v>
      </c>
      <c r="E69" s="2">
        <v>17454</v>
      </c>
      <c r="F69" s="3"/>
      <c r="G69" s="16"/>
    </row>
    <row r="70" spans="3:7" x14ac:dyDescent="0.3">
      <c r="C70" s="12" t="s">
        <v>112</v>
      </c>
      <c r="D70" s="14">
        <f t="shared" si="2"/>
        <v>22021.5</v>
      </c>
      <c r="E70" s="2">
        <v>2869</v>
      </c>
      <c r="F70" s="3"/>
      <c r="G70" s="16"/>
    </row>
    <row r="71" spans="3:7" x14ac:dyDescent="0.3">
      <c r="C71" s="11" t="s">
        <v>113</v>
      </c>
      <c r="D71" s="14">
        <f t="shared" si="2"/>
        <v>22021.5</v>
      </c>
      <c r="E71" s="2">
        <v>10634</v>
      </c>
      <c r="F71" s="3"/>
      <c r="G71" s="16"/>
    </row>
    <row r="72" spans="3:7" x14ac:dyDescent="0.3">
      <c r="C72" s="12" t="s">
        <v>114</v>
      </c>
      <c r="D72" s="14">
        <f t="shared" si="2"/>
        <v>22021.5</v>
      </c>
      <c r="E72" s="2">
        <v>8480</v>
      </c>
      <c r="F72" s="3"/>
      <c r="G72" s="16"/>
    </row>
    <row r="73" spans="3:7" x14ac:dyDescent="0.3">
      <c r="C73" s="11" t="s">
        <v>115</v>
      </c>
      <c r="D73" s="14">
        <f t="shared" si="2"/>
        <v>22021.5</v>
      </c>
      <c r="E73" s="2">
        <v>2072</v>
      </c>
      <c r="F73" s="3"/>
      <c r="G73" s="16"/>
    </row>
    <row r="74" spans="3:7" x14ac:dyDescent="0.3">
      <c r="C74" s="12" t="s">
        <v>116</v>
      </c>
      <c r="D74" s="14">
        <f t="shared" si="2"/>
        <v>22021.5</v>
      </c>
      <c r="E74" s="2">
        <v>3606</v>
      </c>
      <c r="F74" s="3"/>
      <c r="G74" s="16"/>
    </row>
    <row r="75" spans="3:7" x14ac:dyDescent="0.3">
      <c r="C75" s="11" t="s">
        <v>117</v>
      </c>
      <c r="D75" s="14">
        <f t="shared" si="2"/>
        <v>22021.5</v>
      </c>
      <c r="E75" s="2">
        <v>2788</v>
      </c>
      <c r="F75" s="3"/>
      <c r="G75" s="16"/>
    </row>
    <row r="76" spans="3:7" x14ac:dyDescent="0.3">
      <c r="C76" s="12" t="s">
        <v>118</v>
      </c>
      <c r="D76" s="14">
        <f t="shared" si="2"/>
        <v>22021.5</v>
      </c>
      <c r="E76" s="2">
        <v>14975</v>
      </c>
      <c r="F76" s="3"/>
      <c r="G76" s="16"/>
    </row>
    <row r="77" spans="3:7" x14ac:dyDescent="0.3">
      <c r="C77" s="11" t="s">
        <v>119</v>
      </c>
      <c r="D77" s="14">
        <f t="shared" si="2"/>
        <v>22021.5</v>
      </c>
      <c r="E77" s="2">
        <v>12201</v>
      </c>
      <c r="F77" s="3"/>
      <c r="G77" s="16"/>
    </row>
    <row r="78" spans="3:7" x14ac:dyDescent="0.3">
      <c r="C78" s="12" t="s">
        <v>120</v>
      </c>
      <c r="D78" s="14">
        <f t="shared" si="2"/>
        <v>22021.5</v>
      </c>
      <c r="E78" s="2">
        <v>4306</v>
      </c>
      <c r="F78" s="3"/>
      <c r="G78" s="16"/>
    </row>
    <row r="79" spans="3:7" x14ac:dyDescent="0.3">
      <c r="C79" s="11" t="s">
        <v>121</v>
      </c>
      <c r="D79" s="14">
        <f t="shared" si="2"/>
        <v>22021.5</v>
      </c>
      <c r="E79" s="2">
        <v>9313</v>
      </c>
      <c r="F79" s="3"/>
      <c r="G79" s="16"/>
    </row>
    <row r="80" spans="3:7" x14ac:dyDescent="0.3">
      <c r="C80" s="12" t="s">
        <v>122</v>
      </c>
      <c r="D80" s="14">
        <f t="shared" si="2"/>
        <v>22021.5</v>
      </c>
      <c r="E80" s="2">
        <v>21357</v>
      </c>
      <c r="F80" s="3"/>
      <c r="G80" s="16"/>
    </row>
    <row r="81" spans="3:7" x14ac:dyDescent="0.3">
      <c r="C81" s="11" t="s">
        <v>123</v>
      </c>
      <c r="D81" s="14">
        <f t="shared" si="2"/>
        <v>22021.5</v>
      </c>
      <c r="E81" s="21">
        <f>22021.5*2.5</f>
        <v>55053.75</v>
      </c>
      <c r="F81" s="3"/>
      <c r="G81" s="16"/>
    </row>
    <row r="82" spans="3:7" x14ac:dyDescent="0.3">
      <c r="C82" s="12" t="s">
        <v>124</v>
      </c>
      <c r="D82" s="14">
        <f t="shared" si="2"/>
        <v>22021.5</v>
      </c>
      <c r="E82" s="2">
        <v>2614</v>
      </c>
      <c r="F82" s="3"/>
      <c r="G82" s="16"/>
    </row>
    <row r="83" spans="3:7" x14ac:dyDescent="0.3">
      <c r="C83" s="11" t="s">
        <v>125</v>
      </c>
      <c r="D83" s="14">
        <f t="shared" si="2"/>
        <v>22021.5</v>
      </c>
      <c r="E83" s="2">
        <v>14053</v>
      </c>
      <c r="F83" s="3"/>
      <c r="G83" s="16"/>
    </row>
    <row r="84" spans="3:7" x14ac:dyDescent="0.3">
      <c r="C84" s="12" t="s">
        <v>126</v>
      </c>
      <c r="D84" s="14">
        <f t="shared" si="2"/>
        <v>22021.5</v>
      </c>
      <c r="E84" s="2">
        <v>21259</v>
      </c>
      <c r="F84" s="3"/>
      <c r="G84" s="16"/>
    </row>
    <row r="85" spans="3:7" x14ac:dyDescent="0.3">
      <c r="C85" s="11" t="s">
        <v>127</v>
      </c>
      <c r="D85" s="14">
        <f t="shared" si="2"/>
        <v>22021.5</v>
      </c>
      <c r="E85" s="2">
        <v>5633</v>
      </c>
      <c r="F85" s="3"/>
      <c r="G85" s="16"/>
    </row>
    <row r="86" spans="3:7" x14ac:dyDescent="0.3">
      <c r="C86" s="12" t="s">
        <v>128</v>
      </c>
      <c r="D86" s="14">
        <f t="shared" si="2"/>
        <v>22021.5</v>
      </c>
      <c r="E86" s="21">
        <f>22021.5*2.5</f>
        <v>55053.75</v>
      </c>
      <c r="F86" s="3"/>
      <c r="G86" s="16"/>
    </row>
    <row r="87" spans="3:7" x14ac:dyDescent="0.3">
      <c r="C87" s="11" t="s">
        <v>129</v>
      </c>
      <c r="D87" s="14">
        <f t="shared" si="2"/>
        <v>22021.5</v>
      </c>
      <c r="E87" s="2">
        <v>17884</v>
      </c>
      <c r="F87" s="3"/>
      <c r="G87" s="16"/>
    </row>
    <row r="88" spans="3:7" x14ac:dyDescent="0.3">
      <c r="C88" s="12" t="s">
        <v>130</v>
      </c>
      <c r="D88" s="14">
        <f t="shared" si="2"/>
        <v>22021.5</v>
      </c>
      <c r="E88" s="2">
        <v>4754</v>
      </c>
      <c r="F88" s="3"/>
      <c r="G88" s="16"/>
    </row>
    <row r="89" spans="3:7" x14ac:dyDescent="0.3">
      <c r="C89" s="11" t="s">
        <v>131</v>
      </c>
      <c r="D89" s="14">
        <f t="shared" si="2"/>
        <v>22021.5</v>
      </c>
      <c r="E89" s="2">
        <v>17669</v>
      </c>
      <c r="F89" s="3"/>
      <c r="G89" s="16"/>
    </row>
    <row r="90" spans="3:7" x14ac:dyDescent="0.3">
      <c r="C90" s="12" t="s">
        <v>132</v>
      </c>
      <c r="D90" s="14">
        <f t="shared" si="2"/>
        <v>22021.5</v>
      </c>
      <c r="E90" s="2">
        <v>19081</v>
      </c>
      <c r="F90" s="3"/>
      <c r="G90" s="16"/>
    </row>
    <row r="91" spans="3:7" x14ac:dyDescent="0.3">
      <c r="C91" s="11" t="s">
        <v>133</v>
      </c>
      <c r="D91" s="14">
        <f t="shared" si="2"/>
        <v>22021.5</v>
      </c>
      <c r="E91" s="21">
        <f>22021.5*2.5</f>
        <v>55053.75</v>
      </c>
      <c r="F91" s="3"/>
      <c r="G91" s="16"/>
    </row>
    <row r="92" spans="3:7" x14ac:dyDescent="0.3">
      <c r="C92" s="12" t="s">
        <v>134</v>
      </c>
      <c r="D92" s="14">
        <f t="shared" si="2"/>
        <v>22021.5</v>
      </c>
      <c r="E92" s="2">
        <v>13559</v>
      </c>
      <c r="F92" s="3"/>
      <c r="G92" s="16"/>
    </row>
    <row r="93" spans="3:7" x14ac:dyDescent="0.3">
      <c r="C93" s="11" t="s">
        <v>135</v>
      </c>
      <c r="D93" s="14">
        <f t="shared" si="2"/>
        <v>22021.5</v>
      </c>
      <c r="E93" s="2">
        <v>15776</v>
      </c>
      <c r="F93" s="3"/>
      <c r="G93" s="16"/>
    </row>
    <row r="94" spans="3:7" x14ac:dyDescent="0.3">
      <c r="C94" s="12" t="s">
        <v>136</v>
      </c>
      <c r="D94" s="14">
        <f t="shared" si="2"/>
        <v>22021.5</v>
      </c>
      <c r="E94" s="2">
        <v>8710</v>
      </c>
      <c r="F94" s="3"/>
      <c r="G94" s="16"/>
    </row>
    <row r="95" spans="3:7" x14ac:dyDescent="0.3">
      <c r="C95" s="11" t="s">
        <v>137</v>
      </c>
      <c r="D95" s="14">
        <f t="shared" si="2"/>
        <v>22021.5</v>
      </c>
      <c r="E95" s="2">
        <v>2877</v>
      </c>
      <c r="F95" s="3"/>
      <c r="G95" s="16"/>
    </row>
    <row r="96" spans="3:7" x14ac:dyDescent="0.3">
      <c r="C96" s="12" t="s">
        <v>138</v>
      </c>
      <c r="D96" s="14">
        <f t="shared" si="2"/>
        <v>22021.5</v>
      </c>
      <c r="E96" s="2">
        <v>17727</v>
      </c>
      <c r="F96" s="3"/>
      <c r="G96" s="16"/>
    </row>
    <row r="97" spans="3:7" x14ac:dyDescent="0.3">
      <c r="C97" s="11" t="s">
        <v>139</v>
      </c>
      <c r="D97" s="14">
        <f t="shared" si="2"/>
        <v>22021.5</v>
      </c>
      <c r="E97" s="2">
        <v>12564</v>
      </c>
      <c r="F97" s="3"/>
      <c r="G97" s="16"/>
    </row>
    <row r="98" spans="3:7" x14ac:dyDescent="0.3">
      <c r="C98" s="12" t="s">
        <v>140</v>
      </c>
      <c r="D98" s="14">
        <f t="shared" si="2"/>
        <v>22021.5</v>
      </c>
      <c r="E98" s="2">
        <v>19608</v>
      </c>
      <c r="F98" s="3"/>
      <c r="G98" s="16"/>
    </row>
    <row r="99" spans="3:7" x14ac:dyDescent="0.3">
      <c r="C99" s="11" t="s">
        <v>141</v>
      </c>
      <c r="D99" s="14">
        <f t="shared" ref="D99:D127" si="3">14681*1.5</f>
        <v>22021.5</v>
      </c>
      <c r="E99" s="2">
        <v>13729</v>
      </c>
      <c r="F99" s="3"/>
      <c r="G99" s="16"/>
    </row>
    <row r="100" spans="3:7" x14ac:dyDescent="0.3">
      <c r="C100" s="12" t="s">
        <v>142</v>
      </c>
      <c r="D100" s="14">
        <f t="shared" si="3"/>
        <v>22021.5</v>
      </c>
      <c r="E100" s="2">
        <v>19286</v>
      </c>
      <c r="F100" s="3"/>
      <c r="G100" s="16"/>
    </row>
    <row r="101" spans="3:7" x14ac:dyDescent="0.3">
      <c r="C101" s="11" t="s">
        <v>143</v>
      </c>
      <c r="D101" s="14">
        <f t="shared" si="3"/>
        <v>22021.5</v>
      </c>
      <c r="E101" s="2">
        <v>19740</v>
      </c>
      <c r="F101" s="3"/>
      <c r="G101" s="16"/>
    </row>
    <row r="102" spans="3:7" x14ac:dyDescent="0.3">
      <c r="C102" s="12" t="s">
        <v>144</v>
      </c>
      <c r="D102" s="14">
        <f t="shared" si="3"/>
        <v>22021.5</v>
      </c>
      <c r="E102" s="2">
        <v>16737</v>
      </c>
      <c r="F102" s="3"/>
      <c r="G102" s="16"/>
    </row>
    <row r="103" spans="3:7" x14ac:dyDescent="0.3">
      <c r="C103" s="11" t="s">
        <v>145</v>
      </c>
      <c r="D103" s="14">
        <f t="shared" si="3"/>
        <v>22021.5</v>
      </c>
      <c r="E103" s="2">
        <v>5703</v>
      </c>
      <c r="F103" s="3"/>
      <c r="G103" s="16"/>
    </row>
    <row r="104" spans="3:7" x14ac:dyDescent="0.3">
      <c r="C104" s="12" t="s">
        <v>146</v>
      </c>
      <c r="D104" s="14">
        <f t="shared" si="3"/>
        <v>22021.5</v>
      </c>
      <c r="E104" s="21">
        <f>22021.5*2.5</f>
        <v>55053.75</v>
      </c>
      <c r="F104" s="3"/>
      <c r="G104" s="16"/>
    </row>
    <row r="105" spans="3:7" x14ac:dyDescent="0.3">
      <c r="C105" s="11" t="s">
        <v>147</v>
      </c>
      <c r="D105" s="14">
        <f t="shared" si="3"/>
        <v>22021.5</v>
      </c>
      <c r="E105" s="2">
        <v>16138</v>
      </c>
      <c r="F105" s="3"/>
      <c r="G105" s="16"/>
    </row>
    <row r="106" spans="3:7" x14ac:dyDescent="0.3">
      <c r="C106" s="12" t="s">
        <v>148</v>
      </c>
      <c r="D106" s="14">
        <f t="shared" si="3"/>
        <v>22021.5</v>
      </c>
      <c r="E106" s="2">
        <v>20246</v>
      </c>
      <c r="F106" s="3"/>
      <c r="G106" s="16"/>
    </row>
    <row r="107" spans="3:7" x14ac:dyDescent="0.3">
      <c r="C107" s="11" t="s">
        <v>149</v>
      </c>
      <c r="D107" s="14">
        <f t="shared" si="3"/>
        <v>22021.5</v>
      </c>
      <c r="E107" s="2">
        <v>2762</v>
      </c>
      <c r="F107" s="3"/>
      <c r="G107" s="16"/>
    </row>
    <row r="108" spans="3:7" x14ac:dyDescent="0.3">
      <c r="C108" s="12" t="s">
        <v>150</v>
      </c>
      <c r="D108" s="14">
        <f t="shared" si="3"/>
        <v>22021.5</v>
      </c>
      <c r="E108" s="2">
        <v>3240</v>
      </c>
      <c r="F108" s="3"/>
      <c r="G108" s="16"/>
    </row>
    <row r="109" spans="3:7" x14ac:dyDescent="0.3">
      <c r="C109" s="11" t="s">
        <v>151</v>
      </c>
      <c r="D109" s="14">
        <f t="shared" si="3"/>
        <v>22021.5</v>
      </c>
      <c r="E109" s="2">
        <v>20348</v>
      </c>
      <c r="F109" s="3"/>
      <c r="G109" s="16"/>
    </row>
    <row r="110" spans="3:7" x14ac:dyDescent="0.3">
      <c r="C110" s="12" t="s">
        <v>152</v>
      </c>
      <c r="D110" s="14">
        <f t="shared" si="3"/>
        <v>22021.5</v>
      </c>
      <c r="E110" s="2">
        <v>19241</v>
      </c>
      <c r="F110" s="3"/>
      <c r="G110" s="16"/>
    </row>
    <row r="111" spans="3:7" x14ac:dyDescent="0.3">
      <c r="C111" s="11" t="s">
        <v>153</v>
      </c>
      <c r="D111" s="14">
        <f t="shared" si="3"/>
        <v>22021.5</v>
      </c>
      <c r="E111" s="2">
        <v>19574</v>
      </c>
      <c r="F111" s="3"/>
      <c r="G111" s="16"/>
    </row>
    <row r="112" spans="3:7" x14ac:dyDescent="0.3">
      <c r="C112" s="12" t="s">
        <v>154</v>
      </c>
      <c r="D112" s="14">
        <f t="shared" si="3"/>
        <v>22021.5</v>
      </c>
      <c r="E112" s="2">
        <v>21343</v>
      </c>
      <c r="F112" s="3"/>
      <c r="G112" s="16"/>
    </row>
    <row r="113" spans="3:7" x14ac:dyDescent="0.3">
      <c r="C113" s="11" t="s">
        <v>155</v>
      </c>
      <c r="D113" s="14">
        <f t="shared" si="3"/>
        <v>22021.5</v>
      </c>
      <c r="E113" s="21">
        <f>22021.5*2.5</f>
        <v>55053.75</v>
      </c>
      <c r="F113" s="3"/>
      <c r="G113" s="16"/>
    </row>
    <row r="114" spans="3:7" x14ac:dyDescent="0.3">
      <c r="C114" s="12" t="s">
        <v>156</v>
      </c>
      <c r="D114" s="14">
        <f t="shared" si="3"/>
        <v>22021.5</v>
      </c>
      <c r="E114" s="2">
        <v>9713</v>
      </c>
      <c r="F114" s="3"/>
      <c r="G114" s="16"/>
    </row>
    <row r="115" spans="3:7" x14ac:dyDescent="0.3">
      <c r="C115" s="11" t="s">
        <v>157</v>
      </c>
      <c r="D115" s="14">
        <f t="shared" si="3"/>
        <v>22021.5</v>
      </c>
      <c r="E115" s="2">
        <v>14654</v>
      </c>
      <c r="F115" s="3"/>
      <c r="G115" s="16"/>
    </row>
    <row r="116" spans="3:7" x14ac:dyDescent="0.3">
      <c r="C116" s="12" t="s">
        <v>158</v>
      </c>
      <c r="D116" s="14">
        <f t="shared" si="3"/>
        <v>22021.5</v>
      </c>
      <c r="E116" s="2">
        <v>2748</v>
      </c>
      <c r="F116" s="3"/>
      <c r="G116" s="16"/>
    </row>
    <row r="117" spans="3:7" x14ac:dyDescent="0.3">
      <c r="C117" s="11" t="s">
        <v>159</v>
      </c>
      <c r="D117" s="14">
        <f t="shared" si="3"/>
        <v>22021.5</v>
      </c>
      <c r="E117" s="2">
        <v>1579</v>
      </c>
      <c r="F117" s="3"/>
      <c r="G117" s="16"/>
    </row>
    <row r="118" spans="3:7" x14ac:dyDescent="0.3">
      <c r="C118" s="12" t="s">
        <v>160</v>
      </c>
      <c r="D118" s="14">
        <f t="shared" si="3"/>
        <v>22021.5</v>
      </c>
      <c r="E118" s="2">
        <v>19215</v>
      </c>
      <c r="F118" s="3"/>
      <c r="G118" s="16"/>
    </row>
    <row r="119" spans="3:7" x14ac:dyDescent="0.3">
      <c r="C119" s="11" t="s">
        <v>161</v>
      </c>
      <c r="D119" s="14">
        <f t="shared" si="3"/>
        <v>22021.5</v>
      </c>
      <c r="E119" s="2">
        <v>7492</v>
      </c>
      <c r="F119" s="3"/>
      <c r="G119" s="16"/>
    </row>
    <row r="120" spans="3:7" x14ac:dyDescent="0.3">
      <c r="C120" s="12" t="s">
        <v>162</v>
      </c>
      <c r="D120" s="14">
        <f t="shared" si="3"/>
        <v>22021.5</v>
      </c>
      <c r="E120" s="21">
        <f>22021.5*2.5</f>
        <v>55053.75</v>
      </c>
      <c r="F120" s="3"/>
      <c r="G120" s="16"/>
    </row>
    <row r="121" spans="3:7" x14ac:dyDescent="0.3">
      <c r="C121" s="11" t="s">
        <v>163</v>
      </c>
      <c r="D121" s="14">
        <f t="shared" si="3"/>
        <v>22021.5</v>
      </c>
      <c r="E121" s="2">
        <v>14700</v>
      </c>
      <c r="F121" s="3"/>
      <c r="G121" s="16"/>
    </row>
    <row r="122" spans="3:7" x14ac:dyDescent="0.3">
      <c r="C122" s="12" t="s">
        <v>164</v>
      </c>
      <c r="D122" s="14">
        <f t="shared" si="3"/>
        <v>22021.5</v>
      </c>
      <c r="E122" s="2">
        <v>19332</v>
      </c>
      <c r="F122" s="3"/>
      <c r="G122" s="16"/>
    </row>
    <row r="123" spans="3:7" x14ac:dyDescent="0.3">
      <c r="C123" s="11" t="s">
        <v>165</v>
      </c>
      <c r="D123" s="14">
        <f t="shared" si="3"/>
        <v>22021.5</v>
      </c>
      <c r="E123" s="2">
        <v>20187</v>
      </c>
      <c r="F123" s="3"/>
      <c r="G123" s="16"/>
    </row>
    <row r="124" spans="3:7" x14ac:dyDescent="0.3">
      <c r="C124" s="12" t="s">
        <v>166</v>
      </c>
      <c r="D124" s="14">
        <f t="shared" si="3"/>
        <v>22021.5</v>
      </c>
      <c r="E124" s="21">
        <f>22021.5*2.5</f>
        <v>55053.75</v>
      </c>
      <c r="F124" s="3"/>
      <c r="G124" s="16"/>
    </row>
    <row r="125" spans="3:7" x14ac:dyDescent="0.3">
      <c r="C125" s="11" t="s">
        <v>167</v>
      </c>
      <c r="D125" s="14">
        <f t="shared" si="3"/>
        <v>22021.5</v>
      </c>
      <c r="E125" s="2">
        <v>8756</v>
      </c>
      <c r="F125" s="3"/>
      <c r="G125" s="16"/>
    </row>
    <row r="126" spans="3:7" x14ac:dyDescent="0.3">
      <c r="C126" s="12" t="s">
        <v>168</v>
      </c>
      <c r="D126" s="14">
        <f t="shared" si="3"/>
        <v>22021.5</v>
      </c>
      <c r="E126" s="2">
        <v>3643</v>
      </c>
      <c r="F126" s="3"/>
      <c r="G126" s="16"/>
    </row>
    <row r="127" spans="3:7" x14ac:dyDescent="0.3">
      <c r="C127" s="11" t="s">
        <v>169</v>
      </c>
      <c r="D127" s="14">
        <f t="shared" si="3"/>
        <v>22021.5</v>
      </c>
      <c r="E127" s="21">
        <f>22021.5*2.5</f>
        <v>55053.75</v>
      </c>
      <c r="F127" s="3"/>
      <c r="G127" s="16"/>
    </row>
    <row r="128" spans="3:7" x14ac:dyDescent="0.3">
      <c r="C128" s="12"/>
    </row>
    <row r="129" spans="3:3" x14ac:dyDescent="0.3">
      <c r="C129" s="11"/>
    </row>
    <row r="130" spans="3:3" x14ac:dyDescent="0.3">
      <c r="C130" s="12"/>
    </row>
    <row r="131" spans="3:3" x14ac:dyDescent="0.3">
      <c r="C131" s="11"/>
    </row>
    <row r="132" spans="3:3" x14ac:dyDescent="0.3">
      <c r="C132" s="12"/>
    </row>
    <row r="133" spans="3:3" x14ac:dyDescent="0.3">
      <c r="C133" s="11"/>
    </row>
    <row r="134" spans="3:3" x14ac:dyDescent="0.3">
      <c r="C134" s="12"/>
    </row>
    <row r="135" spans="3:3" x14ac:dyDescent="0.3">
      <c r="C135" s="11"/>
    </row>
    <row r="136" spans="3:3" x14ac:dyDescent="0.3">
      <c r="C136" s="12"/>
    </row>
    <row r="137" spans="3:3" x14ac:dyDescent="0.3">
      <c r="C137" s="11"/>
    </row>
    <row r="138" spans="3:3" x14ac:dyDescent="0.3">
      <c r="C138" s="12"/>
    </row>
    <row r="139" spans="3:3" x14ac:dyDescent="0.3">
      <c r="C139" s="11"/>
    </row>
    <row r="140" spans="3:3" x14ac:dyDescent="0.3">
      <c r="C140" s="12"/>
    </row>
    <row r="141" spans="3:3" x14ac:dyDescent="0.3">
      <c r="C141" s="11"/>
    </row>
    <row r="142" spans="3:3" x14ac:dyDescent="0.3">
      <c r="C142" s="12"/>
    </row>
    <row r="143" spans="3:3" x14ac:dyDescent="0.3">
      <c r="C143" s="13"/>
    </row>
    <row r="144" spans="3:3" x14ac:dyDescent="0.3">
      <c r="C144" s="4"/>
    </row>
    <row r="145" spans="3:3" x14ac:dyDescent="0.3">
      <c r="C145" s="13"/>
    </row>
    <row r="146" spans="3:3" x14ac:dyDescent="0.3">
      <c r="C146" s="4"/>
    </row>
    <row r="147" spans="3:3" x14ac:dyDescent="0.3">
      <c r="C147" s="13"/>
    </row>
    <row r="148" spans="3:3" x14ac:dyDescent="0.3">
      <c r="C148" s="4"/>
    </row>
    <row r="149" spans="3:3" x14ac:dyDescent="0.3">
      <c r="C149" s="13"/>
    </row>
    <row r="150" spans="3:3" x14ac:dyDescent="0.3">
      <c r="C150" s="4"/>
    </row>
    <row r="151" spans="3:3" x14ac:dyDescent="0.3">
      <c r="C151" s="13"/>
    </row>
    <row r="152" spans="3:3" x14ac:dyDescent="0.3">
      <c r="C152" s="4"/>
    </row>
    <row r="153" spans="3:3" x14ac:dyDescent="0.3">
      <c r="C153" s="13"/>
    </row>
    <row r="154" spans="3:3" x14ac:dyDescent="0.3">
      <c r="C154" s="4"/>
    </row>
    <row r="155" spans="3:3" x14ac:dyDescent="0.3">
      <c r="C155" s="13"/>
    </row>
    <row r="156" spans="3:3" x14ac:dyDescent="0.3">
      <c r="C156" s="4"/>
    </row>
    <row r="157" spans="3:3" x14ac:dyDescent="0.3">
      <c r="C157" s="13"/>
    </row>
    <row r="158" spans="3:3" x14ac:dyDescent="0.3">
      <c r="C158" s="4"/>
    </row>
    <row r="159" spans="3:3" x14ac:dyDescent="0.3">
      <c r="C159" s="13"/>
    </row>
    <row r="160" spans="3:3" x14ac:dyDescent="0.3">
      <c r="C160" s="4"/>
    </row>
    <row r="161" spans="3:3" x14ac:dyDescent="0.3">
      <c r="C161" s="13"/>
    </row>
    <row r="162" spans="3:3" x14ac:dyDescent="0.3">
      <c r="C162" s="4"/>
    </row>
    <row r="163" spans="3:3" x14ac:dyDescent="0.3">
      <c r="C163" s="13"/>
    </row>
    <row r="164" spans="3:3" x14ac:dyDescent="0.3">
      <c r="C164" s="4"/>
    </row>
    <row r="165" spans="3:3" x14ac:dyDescent="0.3">
      <c r="C165" s="13"/>
    </row>
    <row r="166" spans="3:3" x14ac:dyDescent="0.3">
      <c r="C166" s="4"/>
    </row>
    <row r="167" spans="3:3" x14ac:dyDescent="0.3">
      <c r="C167" s="13"/>
    </row>
    <row r="168" spans="3:3" x14ac:dyDescent="0.3">
      <c r="C168" s="4"/>
    </row>
    <row r="169" spans="3:3" x14ac:dyDescent="0.3">
      <c r="C169" s="13"/>
    </row>
    <row r="170" spans="3:3" x14ac:dyDescent="0.3">
      <c r="C170" s="4"/>
    </row>
    <row r="171" spans="3:3" x14ac:dyDescent="0.3">
      <c r="C171" s="13"/>
    </row>
    <row r="172" spans="3:3" x14ac:dyDescent="0.3">
      <c r="C172" s="4"/>
    </row>
    <row r="173" spans="3:3" x14ac:dyDescent="0.3">
      <c r="C173" s="13"/>
    </row>
    <row r="174" spans="3:3" x14ac:dyDescent="0.3">
      <c r="C174" s="4"/>
    </row>
    <row r="175" spans="3:3" x14ac:dyDescent="0.3">
      <c r="C175" s="13"/>
    </row>
    <row r="176" spans="3:3" x14ac:dyDescent="0.3">
      <c r="C176" s="4"/>
    </row>
    <row r="177" spans="3:3" x14ac:dyDescent="0.3">
      <c r="C177" s="13"/>
    </row>
    <row r="178" spans="3:3" x14ac:dyDescent="0.3">
      <c r="C178" s="4"/>
    </row>
    <row r="179" spans="3:3" x14ac:dyDescent="0.3">
      <c r="C179" s="13"/>
    </row>
    <row r="180" spans="3:3" x14ac:dyDescent="0.3">
      <c r="C180" s="4"/>
    </row>
    <row r="181" spans="3:3" x14ac:dyDescent="0.3">
      <c r="C181" s="13"/>
    </row>
    <row r="182" spans="3:3" x14ac:dyDescent="0.3">
      <c r="C182" s="4"/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C94E-0144-4B30-8902-DD04CA9B2497}">
  <dimension ref="B2:I182"/>
  <sheetViews>
    <sheetView workbookViewId="0">
      <selection activeCell="H17" sqref="H17"/>
    </sheetView>
  </sheetViews>
  <sheetFormatPr defaultRowHeight="14.4" x14ac:dyDescent="0.3"/>
  <cols>
    <col min="2" max="2" width="14.109375" customWidth="1"/>
    <col min="3" max="3" width="13" style="15" customWidth="1"/>
    <col min="4" max="4" width="13.109375" customWidth="1"/>
    <col min="5" max="5" width="22" bestFit="1" customWidth="1"/>
    <col min="6" max="6" width="18" bestFit="1" customWidth="1"/>
    <col min="9" max="9" width="10.44140625" customWidth="1"/>
  </cols>
  <sheetData>
    <row r="2" spans="2:9" x14ac:dyDescent="0.3">
      <c r="B2" s="17" t="s">
        <v>0</v>
      </c>
      <c r="C2" s="19" t="s">
        <v>41</v>
      </c>
      <c r="D2" s="18" t="s">
        <v>42</v>
      </c>
      <c r="E2" s="18" t="s">
        <v>189</v>
      </c>
      <c r="F2" s="20" t="s">
        <v>44</v>
      </c>
    </row>
    <row r="3" spans="2:9" x14ac:dyDescent="0.3">
      <c r="B3" s="11" t="s">
        <v>45</v>
      </c>
      <c r="C3" s="14">
        <f t="shared" ref="C3:D34" si="0">14681*1.5</f>
        <v>22021.5</v>
      </c>
      <c r="D3" s="14">
        <f>SUM(Table35[[#This Row],[Target]])</f>
        <v>22021.5</v>
      </c>
      <c r="E3" s="3"/>
      <c r="F3" s="16">
        <v>5000</v>
      </c>
    </row>
    <row r="4" spans="2:9" x14ac:dyDescent="0.3">
      <c r="B4" s="12" t="s">
        <v>46</v>
      </c>
      <c r="C4" s="14">
        <f t="shared" si="0"/>
        <v>22021.5</v>
      </c>
      <c r="D4" s="21">
        <f>22021.5*2.5</f>
        <v>55053.75</v>
      </c>
      <c r="E4" s="3"/>
      <c r="F4" s="16">
        <v>5000</v>
      </c>
    </row>
    <row r="5" spans="2:9" x14ac:dyDescent="0.3">
      <c r="B5" s="11" t="s">
        <v>47</v>
      </c>
      <c r="C5" s="14">
        <f t="shared" si="0"/>
        <v>22021.5</v>
      </c>
      <c r="D5" s="2">
        <v>17600</v>
      </c>
      <c r="E5" s="3"/>
      <c r="F5" s="16">
        <v>5000</v>
      </c>
      <c r="H5" t="s">
        <v>190</v>
      </c>
      <c r="I5" t="s">
        <v>197</v>
      </c>
    </row>
    <row r="6" spans="2:9" x14ac:dyDescent="0.3">
      <c r="B6" s="12" t="s">
        <v>48</v>
      </c>
      <c r="C6" s="14">
        <f t="shared" si="0"/>
        <v>22021.5</v>
      </c>
      <c r="D6" s="2">
        <v>3016</v>
      </c>
      <c r="E6" s="3"/>
      <c r="F6" s="16">
        <v>5000</v>
      </c>
      <c r="H6" t="s">
        <v>191</v>
      </c>
      <c r="I6" t="s">
        <v>192</v>
      </c>
    </row>
    <row r="7" spans="2:9" x14ac:dyDescent="0.3">
      <c r="B7" s="11" t="s">
        <v>49</v>
      </c>
      <c r="C7" s="14">
        <f t="shared" si="0"/>
        <v>22021.5</v>
      </c>
      <c r="D7" s="2">
        <v>14686</v>
      </c>
      <c r="E7" s="3"/>
      <c r="F7" s="16">
        <v>5000</v>
      </c>
      <c r="H7" t="s">
        <v>193</v>
      </c>
      <c r="I7" t="s">
        <v>194</v>
      </c>
    </row>
    <row r="8" spans="2:9" x14ac:dyDescent="0.3">
      <c r="B8" s="12" t="s">
        <v>50</v>
      </c>
      <c r="C8" s="14">
        <f t="shared" si="0"/>
        <v>22021.5</v>
      </c>
      <c r="D8" s="21">
        <f>22021.5*2.5</f>
        <v>55053.75</v>
      </c>
      <c r="E8" s="3"/>
      <c r="F8" s="16">
        <v>5000</v>
      </c>
      <c r="H8" t="s">
        <v>195</v>
      </c>
      <c r="I8" t="s">
        <v>196</v>
      </c>
    </row>
    <row r="9" spans="2:9" x14ac:dyDescent="0.3">
      <c r="B9" s="11" t="s">
        <v>51</v>
      </c>
      <c r="C9" s="14">
        <f t="shared" si="0"/>
        <v>22021.5</v>
      </c>
      <c r="D9" s="2">
        <v>18370</v>
      </c>
      <c r="E9" s="3"/>
      <c r="F9" s="16">
        <v>5000</v>
      </c>
    </row>
    <row r="10" spans="2:9" x14ac:dyDescent="0.3">
      <c r="B10" s="12" t="s">
        <v>52</v>
      </c>
      <c r="C10" s="14">
        <f t="shared" si="0"/>
        <v>22021.5</v>
      </c>
      <c r="D10" s="21">
        <f>22021.5*2.5</f>
        <v>55053.75</v>
      </c>
      <c r="E10" s="3"/>
      <c r="F10" s="16">
        <v>5000</v>
      </c>
    </row>
    <row r="11" spans="2:9" x14ac:dyDescent="0.3">
      <c r="B11" s="11" t="s">
        <v>53</v>
      </c>
      <c r="C11" s="14">
        <f t="shared" si="0"/>
        <v>22021.5</v>
      </c>
      <c r="D11" s="2">
        <v>10531</v>
      </c>
      <c r="E11" s="3"/>
      <c r="F11" s="16">
        <v>5000</v>
      </c>
    </row>
    <row r="12" spans="2:9" x14ac:dyDescent="0.3">
      <c r="B12" s="12" t="s">
        <v>54</v>
      </c>
      <c r="C12" s="14">
        <f t="shared" si="0"/>
        <v>22021.5</v>
      </c>
      <c r="D12" s="21">
        <f>22021.5*2.5</f>
        <v>55053.75</v>
      </c>
      <c r="E12" s="3"/>
      <c r="F12" s="16">
        <v>5000</v>
      </c>
    </row>
    <row r="13" spans="2:9" x14ac:dyDescent="0.3">
      <c r="B13" s="11" t="s">
        <v>55</v>
      </c>
      <c r="C13" s="14">
        <f t="shared" si="0"/>
        <v>22021.5</v>
      </c>
      <c r="D13" s="14">
        <f t="shared" si="0"/>
        <v>22021.5</v>
      </c>
      <c r="E13" s="3"/>
      <c r="F13" s="16">
        <v>5000</v>
      </c>
    </row>
    <row r="14" spans="2:9" x14ac:dyDescent="0.3">
      <c r="B14" s="12" t="s">
        <v>56</v>
      </c>
      <c r="C14" s="14">
        <f t="shared" si="0"/>
        <v>22021.5</v>
      </c>
      <c r="D14" s="2">
        <v>11503</v>
      </c>
      <c r="E14" s="3"/>
      <c r="F14" s="16">
        <v>5000</v>
      </c>
    </row>
    <row r="15" spans="2:9" x14ac:dyDescent="0.3">
      <c r="B15" s="11" t="s">
        <v>57</v>
      </c>
      <c r="C15" s="14">
        <f t="shared" si="0"/>
        <v>22021.5</v>
      </c>
      <c r="D15" s="21">
        <f>22021.5*2.5</f>
        <v>55053.75</v>
      </c>
      <c r="E15" s="3"/>
      <c r="F15" s="16">
        <v>5000</v>
      </c>
    </row>
    <row r="16" spans="2:9" x14ac:dyDescent="0.3">
      <c r="B16" s="12" t="s">
        <v>58</v>
      </c>
      <c r="C16" s="14">
        <f t="shared" si="0"/>
        <v>22021.5</v>
      </c>
      <c r="D16" s="14">
        <f t="shared" si="0"/>
        <v>22021.5</v>
      </c>
      <c r="E16" s="3"/>
      <c r="F16" s="16">
        <v>5000</v>
      </c>
    </row>
    <row r="17" spans="2:6" x14ac:dyDescent="0.3">
      <c r="B17" s="11" t="s">
        <v>59</v>
      </c>
      <c r="C17" s="14">
        <f t="shared" si="0"/>
        <v>22021.5</v>
      </c>
      <c r="D17" s="2">
        <v>10931</v>
      </c>
      <c r="E17" s="3"/>
      <c r="F17" s="16">
        <v>5000</v>
      </c>
    </row>
    <row r="18" spans="2:6" x14ac:dyDescent="0.3">
      <c r="B18" s="12" t="s">
        <v>60</v>
      </c>
      <c r="C18" s="14">
        <f t="shared" si="0"/>
        <v>22021.5</v>
      </c>
      <c r="D18" s="2">
        <v>19598</v>
      </c>
      <c r="E18" s="3"/>
      <c r="F18" s="16">
        <v>5000</v>
      </c>
    </row>
    <row r="19" spans="2:6" x14ac:dyDescent="0.3">
      <c r="B19" s="11" t="s">
        <v>61</v>
      </c>
      <c r="C19" s="14">
        <f t="shared" si="0"/>
        <v>22021.5</v>
      </c>
      <c r="D19" s="21">
        <f>22021.5*2.5</f>
        <v>55053.75</v>
      </c>
      <c r="E19" s="3"/>
      <c r="F19" s="16">
        <v>8952</v>
      </c>
    </row>
    <row r="20" spans="2:6" x14ac:dyDescent="0.3">
      <c r="B20" s="12" t="s">
        <v>62</v>
      </c>
      <c r="C20" s="14">
        <f t="shared" si="0"/>
        <v>22021.5</v>
      </c>
      <c r="D20" s="2">
        <v>14882</v>
      </c>
      <c r="E20" s="3"/>
      <c r="F20" s="16">
        <v>8952</v>
      </c>
    </row>
    <row r="21" spans="2:6" x14ac:dyDescent="0.3">
      <c r="B21" s="11" t="s">
        <v>63</v>
      </c>
      <c r="C21" s="14">
        <f t="shared" si="0"/>
        <v>22021.5</v>
      </c>
      <c r="D21" s="2">
        <v>7813</v>
      </c>
      <c r="E21" s="3"/>
      <c r="F21" s="16">
        <v>8952</v>
      </c>
    </row>
    <row r="22" spans="2:6" x14ac:dyDescent="0.3">
      <c r="B22" s="12" t="s">
        <v>64</v>
      </c>
      <c r="C22" s="14">
        <f t="shared" si="0"/>
        <v>22021.5</v>
      </c>
      <c r="D22" s="21">
        <f>22021.5*2.5</f>
        <v>55053.75</v>
      </c>
      <c r="E22" s="3"/>
      <c r="F22" s="16">
        <v>8952</v>
      </c>
    </row>
    <row r="23" spans="2:6" x14ac:dyDescent="0.3">
      <c r="B23" s="11" t="s">
        <v>65</v>
      </c>
      <c r="C23" s="14">
        <f t="shared" si="0"/>
        <v>22021.5</v>
      </c>
      <c r="D23" s="2">
        <v>6762</v>
      </c>
      <c r="E23" s="3"/>
      <c r="F23" s="16">
        <v>8952</v>
      </c>
    </row>
    <row r="24" spans="2:6" x14ac:dyDescent="0.3">
      <c r="B24" s="12" t="s">
        <v>66</v>
      </c>
      <c r="C24" s="14">
        <f t="shared" si="0"/>
        <v>22021.5</v>
      </c>
      <c r="D24" s="2">
        <v>7710</v>
      </c>
      <c r="E24" s="3"/>
      <c r="F24" s="16">
        <v>8952</v>
      </c>
    </row>
    <row r="25" spans="2:6" x14ac:dyDescent="0.3">
      <c r="B25" s="11" t="s">
        <v>67</v>
      </c>
      <c r="C25" s="14">
        <f t="shared" si="0"/>
        <v>22021.5</v>
      </c>
      <c r="D25" s="2">
        <v>8722</v>
      </c>
      <c r="E25" s="3"/>
      <c r="F25" s="16">
        <v>8952</v>
      </c>
    </row>
    <row r="26" spans="2:6" x14ac:dyDescent="0.3">
      <c r="B26" s="12" t="s">
        <v>68</v>
      </c>
      <c r="C26" s="14">
        <f t="shared" si="0"/>
        <v>22021.5</v>
      </c>
      <c r="D26" s="21">
        <f>22021.5*2.5</f>
        <v>55053.75</v>
      </c>
      <c r="E26" s="3"/>
      <c r="F26" s="16">
        <v>8952</v>
      </c>
    </row>
    <row r="27" spans="2:6" x14ac:dyDescent="0.3">
      <c r="B27" s="11" t="s">
        <v>69</v>
      </c>
      <c r="C27" s="14">
        <f t="shared" si="0"/>
        <v>22021.5</v>
      </c>
      <c r="D27" s="2">
        <v>12840</v>
      </c>
      <c r="E27" s="3"/>
      <c r="F27" s="16">
        <v>8952</v>
      </c>
    </row>
    <row r="28" spans="2:6" x14ac:dyDescent="0.3">
      <c r="B28" s="12" t="s">
        <v>70</v>
      </c>
      <c r="C28" s="14">
        <f t="shared" si="0"/>
        <v>22021.5</v>
      </c>
      <c r="D28" s="14">
        <f t="shared" si="0"/>
        <v>22021.5</v>
      </c>
      <c r="E28" s="3"/>
      <c r="F28" s="16">
        <v>8952</v>
      </c>
    </row>
    <row r="29" spans="2:6" x14ac:dyDescent="0.3">
      <c r="B29" s="11" t="s">
        <v>71</v>
      </c>
      <c r="C29" s="14">
        <f t="shared" si="0"/>
        <v>22021.5</v>
      </c>
      <c r="D29" s="2">
        <v>18525</v>
      </c>
      <c r="E29" s="3"/>
      <c r="F29" s="16">
        <v>8952</v>
      </c>
    </row>
    <row r="30" spans="2:6" x14ac:dyDescent="0.3">
      <c r="B30" s="12" t="s">
        <v>72</v>
      </c>
      <c r="C30" s="14">
        <f t="shared" si="0"/>
        <v>22021.5</v>
      </c>
      <c r="D30" s="2">
        <v>3783</v>
      </c>
      <c r="E30" s="3"/>
      <c r="F30" s="16">
        <v>10000</v>
      </c>
    </row>
    <row r="31" spans="2:6" x14ac:dyDescent="0.3">
      <c r="B31" s="11" t="s">
        <v>73</v>
      </c>
      <c r="C31" s="14">
        <f t="shared" si="0"/>
        <v>22021.5</v>
      </c>
      <c r="D31" s="2">
        <v>19753</v>
      </c>
      <c r="E31" s="3"/>
      <c r="F31" s="16">
        <v>10000</v>
      </c>
    </row>
    <row r="32" spans="2:6" x14ac:dyDescent="0.3">
      <c r="B32" s="12" t="s">
        <v>74</v>
      </c>
      <c r="C32" s="14">
        <f t="shared" si="0"/>
        <v>22021.5</v>
      </c>
      <c r="D32" s="21">
        <f>22021.5*2.5</f>
        <v>55053.75</v>
      </c>
      <c r="E32" s="3"/>
      <c r="F32" s="16">
        <v>10000</v>
      </c>
    </row>
    <row r="33" spans="2:6" x14ac:dyDescent="0.3">
      <c r="B33" s="11" t="s">
        <v>75</v>
      </c>
      <c r="C33" s="14">
        <f t="shared" si="0"/>
        <v>22021.5</v>
      </c>
      <c r="D33" s="2">
        <v>19479</v>
      </c>
      <c r="E33" s="3"/>
      <c r="F33" s="16">
        <v>10000</v>
      </c>
    </row>
    <row r="34" spans="2:6" x14ac:dyDescent="0.3">
      <c r="B34" s="12" t="s">
        <v>76</v>
      </c>
      <c r="C34" s="14">
        <f t="shared" si="0"/>
        <v>22021.5</v>
      </c>
      <c r="D34" s="2">
        <v>1444</v>
      </c>
      <c r="E34" s="3"/>
      <c r="F34" s="16">
        <v>10000</v>
      </c>
    </row>
    <row r="35" spans="2:6" x14ac:dyDescent="0.3">
      <c r="B35" s="11" t="s">
        <v>77</v>
      </c>
      <c r="C35" s="14">
        <f t="shared" ref="C35:D66" si="1">14681*1.5</f>
        <v>22021.5</v>
      </c>
      <c r="D35" s="21">
        <f>22021.5*2.5</f>
        <v>55053.75</v>
      </c>
      <c r="E35" s="3"/>
      <c r="F35" s="16">
        <v>10000</v>
      </c>
    </row>
    <row r="36" spans="2:6" x14ac:dyDescent="0.3">
      <c r="B36" s="12" t="s">
        <v>78</v>
      </c>
      <c r="C36" s="14">
        <f t="shared" si="1"/>
        <v>22021.5</v>
      </c>
      <c r="D36" s="2">
        <v>10900</v>
      </c>
      <c r="E36" s="3"/>
      <c r="F36" s="16">
        <v>10000</v>
      </c>
    </row>
    <row r="37" spans="2:6" x14ac:dyDescent="0.3">
      <c r="B37" s="11" t="s">
        <v>79</v>
      </c>
      <c r="C37" s="14">
        <f t="shared" si="1"/>
        <v>22021.5</v>
      </c>
      <c r="D37" s="14">
        <f t="shared" si="1"/>
        <v>22021.5</v>
      </c>
      <c r="E37" s="3"/>
      <c r="F37" s="16">
        <v>10000</v>
      </c>
    </row>
    <row r="38" spans="2:6" x14ac:dyDescent="0.3">
      <c r="B38" s="12" t="s">
        <v>80</v>
      </c>
      <c r="C38" s="14">
        <f t="shared" si="1"/>
        <v>22021.5</v>
      </c>
      <c r="D38" s="2">
        <v>19249</v>
      </c>
      <c r="E38" s="3"/>
      <c r="F38" s="16">
        <v>10000</v>
      </c>
    </row>
    <row r="39" spans="2:6" x14ac:dyDescent="0.3">
      <c r="B39" s="11" t="s">
        <v>81</v>
      </c>
      <c r="C39" s="14">
        <f t="shared" si="1"/>
        <v>22021.5</v>
      </c>
      <c r="D39" s="2">
        <v>1415</v>
      </c>
      <c r="E39" s="3"/>
      <c r="F39" s="16">
        <v>10000</v>
      </c>
    </row>
    <row r="40" spans="2:6" x14ac:dyDescent="0.3">
      <c r="B40" s="12" t="s">
        <v>82</v>
      </c>
      <c r="C40" s="14">
        <f t="shared" si="1"/>
        <v>22021.5</v>
      </c>
      <c r="D40" s="2">
        <v>13543</v>
      </c>
      <c r="E40" s="3"/>
      <c r="F40" s="16">
        <v>10000</v>
      </c>
    </row>
    <row r="41" spans="2:6" x14ac:dyDescent="0.3">
      <c r="B41" s="11" t="s">
        <v>83</v>
      </c>
      <c r="C41" s="14">
        <f t="shared" si="1"/>
        <v>22021.5</v>
      </c>
      <c r="D41" s="21">
        <f>22021.5*2.5</f>
        <v>55053.75</v>
      </c>
      <c r="E41" s="3"/>
      <c r="F41" s="16">
        <v>10000</v>
      </c>
    </row>
    <row r="42" spans="2:6" x14ac:dyDescent="0.3">
      <c r="B42" s="12" t="s">
        <v>84</v>
      </c>
      <c r="C42" s="14">
        <f t="shared" si="1"/>
        <v>22021.5</v>
      </c>
      <c r="D42" s="2">
        <v>16249</v>
      </c>
      <c r="E42" s="3"/>
      <c r="F42" s="16">
        <v>10000</v>
      </c>
    </row>
    <row r="43" spans="2:6" x14ac:dyDescent="0.3">
      <c r="B43" s="11" t="s">
        <v>85</v>
      </c>
      <c r="C43" s="14">
        <f t="shared" si="1"/>
        <v>22021.5</v>
      </c>
      <c r="D43" s="2">
        <v>8481</v>
      </c>
      <c r="E43" s="3"/>
      <c r="F43" s="16">
        <v>10000</v>
      </c>
    </row>
    <row r="44" spans="2:6" x14ac:dyDescent="0.3">
      <c r="B44" s="12" t="s">
        <v>86</v>
      </c>
      <c r="C44" s="14">
        <f t="shared" si="1"/>
        <v>22021.5</v>
      </c>
      <c r="D44" s="2">
        <v>18370</v>
      </c>
      <c r="E44" s="3"/>
      <c r="F44" s="16">
        <v>10000</v>
      </c>
    </row>
    <row r="45" spans="2:6" x14ac:dyDescent="0.3">
      <c r="B45" s="11" t="s">
        <v>87</v>
      </c>
      <c r="C45" s="14">
        <f t="shared" si="1"/>
        <v>22021.5</v>
      </c>
      <c r="D45" s="2">
        <v>8540</v>
      </c>
      <c r="E45" s="3"/>
      <c r="F45" s="16">
        <v>10000</v>
      </c>
    </row>
    <row r="46" spans="2:6" x14ac:dyDescent="0.3">
      <c r="B46" s="12" t="s">
        <v>88</v>
      </c>
      <c r="C46" s="14">
        <f t="shared" si="1"/>
        <v>22021.5</v>
      </c>
      <c r="D46" s="2">
        <v>12821</v>
      </c>
      <c r="E46" s="3"/>
      <c r="F46" s="16">
        <v>10000</v>
      </c>
    </row>
    <row r="47" spans="2:6" x14ac:dyDescent="0.3">
      <c r="B47" s="11" t="s">
        <v>89</v>
      </c>
      <c r="C47" s="14">
        <f t="shared" si="1"/>
        <v>22021.5</v>
      </c>
      <c r="D47" s="2">
        <v>3659</v>
      </c>
      <c r="E47" s="3"/>
      <c r="F47" s="16">
        <v>10000</v>
      </c>
    </row>
    <row r="48" spans="2:6" x14ac:dyDescent="0.3">
      <c r="B48" s="12" t="s">
        <v>90</v>
      </c>
      <c r="C48" s="14">
        <f t="shared" si="1"/>
        <v>22021.5</v>
      </c>
      <c r="D48" s="21">
        <f>22021.5*2.5</f>
        <v>55053.75</v>
      </c>
      <c r="E48" s="3"/>
      <c r="F48" s="16">
        <v>10000</v>
      </c>
    </row>
    <row r="49" spans="2:6" x14ac:dyDescent="0.3">
      <c r="B49" s="11" t="s">
        <v>91</v>
      </c>
      <c r="C49" s="14">
        <f t="shared" si="1"/>
        <v>22021.5</v>
      </c>
      <c r="D49" s="2">
        <v>20382</v>
      </c>
      <c r="E49" s="3"/>
      <c r="F49" s="16">
        <v>10000</v>
      </c>
    </row>
    <row r="50" spans="2:6" x14ac:dyDescent="0.3">
      <c r="B50" s="12" t="s">
        <v>92</v>
      </c>
      <c r="C50" s="14">
        <f t="shared" si="1"/>
        <v>22021.5</v>
      </c>
      <c r="D50" s="2">
        <v>2981</v>
      </c>
      <c r="E50" s="3"/>
      <c r="F50" s="16">
        <v>10000</v>
      </c>
    </row>
    <row r="51" spans="2:6" x14ac:dyDescent="0.3">
      <c r="B51" s="11" t="s">
        <v>93</v>
      </c>
      <c r="C51" s="14">
        <f t="shared" si="1"/>
        <v>22021.5</v>
      </c>
      <c r="D51" s="14">
        <f t="shared" si="1"/>
        <v>22021.5</v>
      </c>
      <c r="E51" s="3"/>
      <c r="F51" s="16">
        <v>10000</v>
      </c>
    </row>
    <row r="52" spans="2:6" x14ac:dyDescent="0.3">
      <c r="B52" s="12" t="s">
        <v>94</v>
      </c>
      <c r="C52" s="14">
        <f t="shared" si="1"/>
        <v>22021.5</v>
      </c>
      <c r="D52" s="2">
        <v>3966</v>
      </c>
      <c r="E52" s="3"/>
      <c r="F52" s="16">
        <v>10000</v>
      </c>
    </row>
    <row r="53" spans="2:6" x14ac:dyDescent="0.3">
      <c r="B53" s="11" t="s">
        <v>95</v>
      </c>
      <c r="C53" s="14">
        <f t="shared" si="1"/>
        <v>22021.5</v>
      </c>
      <c r="D53" s="2">
        <v>3522</v>
      </c>
      <c r="E53" s="3"/>
      <c r="F53" s="16">
        <v>10000</v>
      </c>
    </row>
    <row r="54" spans="2:6" x14ac:dyDescent="0.3">
      <c r="B54" s="12" t="s">
        <v>96</v>
      </c>
      <c r="C54" s="14">
        <f t="shared" si="1"/>
        <v>22021.5</v>
      </c>
      <c r="D54" s="2">
        <v>3522</v>
      </c>
      <c r="E54" s="3"/>
      <c r="F54" s="16">
        <v>10000</v>
      </c>
    </row>
    <row r="55" spans="2:6" x14ac:dyDescent="0.3">
      <c r="B55" s="11" t="s">
        <v>97</v>
      </c>
      <c r="C55" s="14">
        <f t="shared" si="1"/>
        <v>22021.5</v>
      </c>
      <c r="D55" s="2">
        <v>18438</v>
      </c>
      <c r="E55" s="3"/>
      <c r="F55" s="16">
        <v>10000</v>
      </c>
    </row>
    <row r="56" spans="2:6" x14ac:dyDescent="0.3">
      <c r="B56" s="12" t="s">
        <v>98</v>
      </c>
      <c r="C56" s="14">
        <f t="shared" si="1"/>
        <v>22021.5</v>
      </c>
      <c r="D56" s="2">
        <v>18457</v>
      </c>
      <c r="E56" s="3"/>
      <c r="F56" s="16">
        <v>10000</v>
      </c>
    </row>
    <row r="57" spans="2:6" x14ac:dyDescent="0.3">
      <c r="B57" s="11" t="s">
        <v>99</v>
      </c>
      <c r="C57" s="14">
        <f t="shared" si="1"/>
        <v>22021.5</v>
      </c>
      <c r="D57" s="2">
        <v>17922</v>
      </c>
      <c r="E57" s="3"/>
      <c r="F57" s="16">
        <v>10000</v>
      </c>
    </row>
    <row r="58" spans="2:6" x14ac:dyDescent="0.3">
      <c r="B58" s="12" t="s">
        <v>100</v>
      </c>
      <c r="C58" s="14">
        <f t="shared" si="1"/>
        <v>22021.5</v>
      </c>
      <c r="D58" s="2">
        <v>1558</v>
      </c>
      <c r="E58" s="3"/>
      <c r="F58" s="16">
        <v>10000</v>
      </c>
    </row>
    <row r="59" spans="2:6" x14ac:dyDescent="0.3">
      <c r="B59" s="11" t="s">
        <v>101</v>
      </c>
      <c r="C59" s="14">
        <f t="shared" si="1"/>
        <v>22021.5</v>
      </c>
      <c r="D59" s="2">
        <v>5243</v>
      </c>
      <c r="E59" s="3"/>
      <c r="F59" s="16">
        <v>10000</v>
      </c>
    </row>
    <row r="60" spans="2:6" x14ac:dyDescent="0.3">
      <c r="B60" s="12" t="s">
        <v>102</v>
      </c>
      <c r="C60" s="14">
        <f t="shared" si="1"/>
        <v>22021.5</v>
      </c>
      <c r="D60" s="2">
        <v>18776</v>
      </c>
      <c r="E60" s="3"/>
      <c r="F60" s="16">
        <v>10000</v>
      </c>
    </row>
    <row r="61" spans="2:6" x14ac:dyDescent="0.3">
      <c r="B61" s="11" t="s">
        <v>103</v>
      </c>
      <c r="C61" s="14">
        <f t="shared" si="1"/>
        <v>22021.5</v>
      </c>
      <c r="D61" s="2">
        <v>4493</v>
      </c>
      <c r="E61" s="3"/>
      <c r="F61" s="16">
        <v>10000</v>
      </c>
    </row>
    <row r="62" spans="2:6" x14ac:dyDescent="0.3">
      <c r="B62" s="12" t="s">
        <v>104</v>
      </c>
      <c r="C62" s="14">
        <f t="shared" si="1"/>
        <v>22021.5</v>
      </c>
      <c r="D62" s="14">
        <f t="shared" si="1"/>
        <v>22021.5</v>
      </c>
      <c r="E62" s="3"/>
      <c r="F62" s="16">
        <v>10000</v>
      </c>
    </row>
    <row r="63" spans="2:6" x14ac:dyDescent="0.3">
      <c r="B63" s="11" t="s">
        <v>105</v>
      </c>
      <c r="C63" s="14">
        <f t="shared" si="1"/>
        <v>22021.5</v>
      </c>
      <c r="D63" s="2">
        <v>12972</v>
      </c>
      <c r="E63" s="3"/>
      <c r="F63" s="16">
        <v>10000</v>
      </c>
    </row>
    <row r="64" spans="2:6" x14ac:dyDescent="0.3">
      <c r="B64" s="12" t="s">
        <v>106</v>
      </c>
      <c r="C64" s="14">
        <f t="shared" si="1"/>
        <v>22021.5</v>
      </c>
      <c r="D64" s="2">
        <v>10925</v>
      </c>
      <c r="E64" s="3"/>
      <c r="F64" s="16">
        <v>10000</v>
      </c>
    </row>
    <row r="65" spans="2:6" x14ac:dyDescent="0.3">
      <c r="B65" s="11" t="s">
        <v>107</v>
      </c>
      <c r="C65" s="14">
        <f t="shared" si="1"/>
        <v>22021.5</v>
      </c>
      <c r="D65" s="2">
        <v>11911</v>
      </c>
      <c r="E65" s="3"/>
      <c r="F65" s="16">
        <v>10000</v>
      </c>
    </row>
    <row r="66" spans="2:6" x14ac:dyDescent="0.3">
      <c r="B66" s="12" t="s">
        <v>108</v>
      </c>
      <c r="C66" s="14">
        <f t="shared" si="1"/>
        <v>22021.5</v>
      </c>
      <c r="D66" s="2">
        <v>18828</v>
      </c>
      <c r="E66" s="3"/>
      <c r="F66" s="16">
        <v>10000</v>
      </c>
    </row>
    <row r="67" spans="2:6" x14ac:dyDescent="0.3">
      <c r="B67" s="11" t="s">
        <v>109</v>
      </c>
      <c r="C67" s="14">
        <f t="shared" ref="C67:C127" si="2">14681*1.5</f>
        <v>22021.5</v>
      </c>
      <c r="D67" s="21">
        <f>22021.5*2.5</f>
        <v>55053.75</v>
      </c>
      <c r="E67" s="3"/>
      <c r="F67" s="16">
        <v>10000</v>
      </c>
    </row>
    <row r="68" spans="2:6" x14ac:dyDescent="0.3">
      <c r="B68" s="12" t="s">
        <v>110</v>
      </c>
      <c r="C68" s="14">
        <f t="shared" si="2"/>
        <v>22021.5</v>
      </c>
      <c r="D68" s="2">
        <v>17870</v>
      </c>
      <c r="E68" s="3"/>
      <c r="F68" s="16">
        <v>10000</v>
      </c>
    </row>
    <row r="69" spans="2:6" x14ac:dyDescent="0.3">
      <c r="B69" s="11" t="s">
        <v>111</v>
      </c>
      <c r="C69" s="14">
        <f t="shared" si="2"/>
        <v>22021.5</v>
      </c>
      <c r="D69" s="2">
        <v>17454</v>
      </c>
      <c r="E69" s="3"/>
      <c r="F69" s="16">
        <v>10000</v>
      </c>
    </row>
    <row r="70" spans="2:6" x14ac:dyDescent="0.3">
      <c r="B70" s="12" t="s">
        <v>112</v>
      </c>
      <c r="C70" s="14">
        <f t="shared" si="2"/>
        <v>22021.5</v>
      </c>
      <c r="D70" s="2">
        <v>2869</v>
      </c>
      <c r="E70" s="3"/>
      <c r="F70" s="16">
        <v>10000</v>
      </c>
    </row>
    <row r="71" spans="2:6" x14ac:dyDescent="0.3">
      <c r="B71" s="11" t="s">
        <v>113</v>
      </c>
      <c r="C71" s="14">
        <f t="shared" si="2"/>
        <v>22021.5</v>
      </c>
      <c r="D71" s="2">
        <v>10634</v>
      </c>
      <c r="E71" s="3"/>
      <c r="F71" s="16">
        <v>10000</v>
      </c>
    </row>
    <row r="72" spans="2:6" x14ac:dyDescent="0.3">
      <c r="B72" s="12" t="s">
        <v>114</v>
      </c>
      <c r="C72" s="14">
        <f t="shared" si="2"/>
        <v>22021.5</v>
      </c>
      <c r="D72" s="2">
        <v>8480</v>
      </c>
      <c r="E72" s="3"/>
      <c r="F72" s="16">
        <v>10000</v>
      </c>
    </row>
    <row r="73" spans="2:6" x14ac:dyDescent="0.3">
      <c r="B73" s="11" t="s">
        <v>115</v>
      </c>
      <c r="C73" s="14">
        <f t="shared" si="2"/>
        <v>22021.5</v>
      </c>
      <c r="D73" s="2">
        <v>2072</v>
      </c>
      <c r="E73" s="3"/>
      <c r="F73" s="16">
        <v>10000</v>
      </c>
    </row>
    <row r="74" spans="2:6" x14ac:dyDescent="0.3">
      <c r="B74" s="12" t="s">
        <v>116</v>
      </c>
      <c r="C74" s="14">
        <f t="shared" si="2"/>
        <v>22021.5</v>
      </c>
      <c r="D74" s="2">
        <v>3606</v>
      </c>
      <c r="E74" s="3"/>
      <c r="F74" s="16">
        <v>10000</v>
      </c>
    </row>
    <row r="75" spans="2:6" x14ac:dyDescent="0.3">
      <c r="B75" s="11" t="s">
        <v>117</v>
      </c>
      <c r="C75" s="14">
        <f t="shared" si="2"/>
        <v>22021.5</v>
      </c>
      <c r="D75" s="2">
        <v>2788</v>
      </c>
      <c r="E75" s="3"/>
      <c r="F75" s="16">
        <v>10000</v>
      </c>
    </row>
    <row r="76" spans="2:6" x14ac:dyDescent="0.3">
      <c r="B76" s="12" t="s">
        <v>118</v>
      </c>
      <c r="C76" s="14">
        <f t="shared" si="2"/>
        <v>22021.5</v>
      </c>
      <c r="D76" s="2">
        <v>14975</v>
      </c>
      <c r="E76" s="3"/>
      <c r="F76" s="16">
        <v>10000</v>
      </c>
    </row>
    <row r="77" spans="2:6" x14ac:dyDescent="0.3">
      <c r="B77" s="11" t="s">
        <v>119</v>
      </c>
      <c r="C77" s="14">
        <f t="shared" si="2"/>
        <v>22021.5</v>
      </c>
      <c r="D77" s="2">
        <v>12201</v>
      </c>
      <c r="E77" s="3"/>
      <c r="F77" s="16">
        <v>10000</v>
      </c>
    </row>
    <row r="78" spans="2:6" x14ac:dyDescent="0.3">
      <c r="B78" s="12" t="s">
        <v>120</v>
      </c>
      <c r="C78" s="14">
        <f t="shared" si="2"/>
        <v>22021.5</v>
      </c>
      <c r="D78" s="2">
        <v>4306</v>
      </c>
      <c r="E78" s="3"/>
      <c r="F78" s="16">
        <v>10000</v>
      </c>
    </row>
    <row r="79" spans="2:6" x14ac:dyDescent="0.3">
      <c r="B79" s="11" t="s">
        <v>121</v>
      </c>
      <c r="C79" s="14">
        <f t="shared" si="2"/>
        <v>22021.5</v>
      </c>
      <c r="D79" s="2">
        <v>9313</v>
      </c>
      <c r="E79" s="3"/>
      <c r="F79" s="16">
        <v>10000</v>
      </c>
    </row>
    <row r="80" spans="2:6" x14ac:dyDescent="0.3">
      <c r="B80" s="12" t="s">
        <v>122</v>
      </c>
      <c r="C80" s="14">
        <f t="shared" si="2"/>
        <v>22021.5</v>
      </c>
      <c r="D80" s="2">
        <v>21357</v>
      </c>
      <c r="E80" s="3"/>
      <c r="F80" s="16">
        <v>10000</v>
      </c>
    </row>
    <row r="81" spans="2:6" x14ac:dyDescent="0.3">
      <c r="B81" s="11" t="s">
        <v>123</v>
      </c>
      <c r="C81" s="14">
        <f t="shared" si="2"/>
        <v>22021.5</v>
      </c>
      <c r="D81" s="21">
        <f>22021.5*2.5</f>
        <v>55053.75</v>
      </c>
      <c r="E81" s="3"/>
      <c r="F81" s="16">
        <v>10000</v>
      </c>
    </row>
    <row r="82" spans="2:6" x14ac:dyDescent="0.3">
      <c r="B82" s="12" t="s">
        <v>124</v>
      </c>
      <c r="C82" s="14">
        <f t="shared" si="2"/>
        <v>22021.5</v>
      </c>
      <c r="D82" s="2">
        <v>2614</v>
      </c>
      <c r="E82" s="3"/>
      <c r="F82" s="16">
        <v>10000</v>
      </c>
    </row>
    <row r="83" spans="2:6" x14ac:dyDescent="0.3">
      <c r="B83" s="11" t="s">
        <v>125</v>
      </c>
      <c r="C83" s="14">
        <f t="shared" si="2"/>
        <v>22021.5</v>
      </c>
      <c r="D83" s="2">
        <v>14053</v>
      </c>
      <c r="E83" s="3"/>
      <c r="F83" s="16">
        <v>10000</v>
      </c>
    </row>
    <row r="84" spans="2:6" x14ac:dyDescent="0.3">
      <c r="B84" s="12" t="s">
        <v>126</v>
      </c>
      <c r="C84" s="14">
        <f t="shared" si="2"/>
        <v>22021.5</v>
      </c>
      <c r="D84" s="2">
        <v>21259</v>
      </c>
      <c r="E84" s="3"/>
      <c r="F84" s="16">
        <v>10000</v>
      </c>
    </row>
    <row r="85" spans="2:6" x14ac:dyDescent="0.3">
      <c r="B85" s="11" t="s">
        <v>127</v>
      </c>
      <c r="C85" s="14">
        <f t="shared" si="2"/>
        <v>22021.5</v>
      </c>
      <c r="D85" s="2">
        <v>5633</v>
      </c>
      <c r="E85" s="3"/>
      <c r="F85" s="16">
        <v>10000</v>
      </c>
    </row>
    <row r="86" spans="2:6" x14ac:dyDescent="0.3">
      <c r="B86" s="12" t="s">
        <v>128</v>
      </c>
      <c r="C86" s="14">
        <f t="shared" si="2"/>
        <v>22021.5</v>
      </c>
      <c r="D86" s="21">
        <f>22021.5*2.5</f>
        <v>55053.75</v>
      </c>
      <c r="E86" s="3"/>
      <c r="F86" s="16">
        <v>10000</v>
      </c>
    </row>
    <row r="87" spans="2:6" x14ac:dyDescent="0.3">
      <c r="B87" s="11" t="s">
        <v>129</v>
      </c>
      <c r="C87" s="14">
        <f t="shared" si="2"/>
        <v>22021.5</v>
      </c>
      <c r="D87" s="2">
        <v>17884</v>
      </c>
      <c r="E87" s="3"/>
      <c r="F87" s="16">
        <v>10000</v>
      </c>
    </row>
    <row r="88" spans="2:6" x14ac:dyDescent="0.3">
      <c r="B88" s="12" t="s">
        <v>130</v>
      </c>
      <c r="C88" s="14">
        <f t="shared" si="2"/>
        <v>22021.5</v>
      </c>
      <c r="D88" s="2">
        <v>4754</v>
      </c>
      <c r="E88" s="3"/>
      <c r="F88" s="16">
        <v>10000</v>
      </c>
    </row>
    <row r="89" spans="2:6" x14ac:dyDescent="0.3">
      <c r="B89" s="11" t="s">
        <v>131</v>
      </c>
      <c r="C89" s="14">
        <f t="shared" si="2"/>
        <v>22021.5</v>
      </c>
      <c r="D89" s="2">
        <v>17669</v>
      </c>
      <c r="E89" s="3"/>
      <c r="F89" s="16">
        <v>10000</v>
      </c>
    </row>
    <row r="90" spans="2:6" x14ac:dyDescent="0.3">
      <c r="B90" s="12" t="s">
        <v>132</v>
      </c>
      <c r="C90" s="14">
        <f t="shared" si="2"/>
        <v>22021.5</v>
      </c>
      <c r="D90" s="2">
        <v>19081</v>
      </c>
      <c r="E90" s="3"/>
      <c r="F90" s="16">
        <v>10000</v>
      </c>
    </row>
    <row r="91" spans="2:6" x14ac:dyDescent="0.3">
      <c r="B91" s="11" t="s">
        <v>133</v>
      </c>
      <c r="C91" s="14">
        <f t="shared" si="2"/>
        <v>22021.5</v>
      </c>
      <c r="D91" s="21">
        <f>22021.5*2.5</f>
        <v>55053.75</v>
      </c>
      <c r="E91" s="3"/>
      <c r="F91" s="16">
        <v>10000</v>
      </c>
    </row>
    <row r="92" spans="2:6" x14ac:dyDescent="0.3">
      <c r="B92" s="12" t="s">
        <v>134</v>
      </c>
      <c r="C92" s="14">
        <f t="shared" si="2"/>
        <v>22021.5</v>
      </c>
      <c r="D92" s="2">
        <v>13559</v>
      </c>
      <c r="E92" s="3"/>
      <c r="F92" s="16">
        <v>10000</v>
      </c>
    </row>
    <row r="93" spans="2:6" x14ac:dyDescent="0.3">
      <c r="B93" s="11" t="s">
        <v>135</v>
      </c>
      <c r="C93" s="14">
        <f t="shared" si="2"/>
        <v>22021.5</v>
      </c>
      <c r="D93" s="2">
        <v>15776</v>
      </c>
      <c r="E93" s="3"/>
      <c r="F93" s="16">
        <v>10000</v>
      </c>
    </row>
    <row r="94" spans="2:6" x14ac:dyDescent="0.3">
      <c r="B94" s="12" t="s">
        <v>136</v>
      </c>
      <c r="C94" s="14">
        <f t="shared" si="2"/>
        <v>22021.5</v>
      </c>
      <c r="D94" s="2">
        <v>8710</v>
      </c>
      <c r="E94" s="3"/>
      <c r="F94" s="16">
        <v>10000</v>
      </c>
    </row>
    <row r="95" spans="2:6" x14ac:dyDescent="0.3">
      <c r="B95" s="11" t="s">
        <v>137</v>
      </c>
      <c r="C95" s="14">
        <f t="shared" si="2"/>
        <v>22021.5</v>
      </c>
      <c r="D95" s="2">
        <v>2877</v>
      </c>
      <c r="E95" s="3"/>
      <c r="F95" s="16">
        <v>10000</v>
      </c>
    </row>
    <row r="96" spans="2:6" x14ac:dyDescent="0.3">
      <c r="B96" s="12" t="s">
        <v>138</v>
      </c>
      <c r="C96" s="14">
        <f t="shared" si="2"/>
        <v>22021.5</v>
      </c>
      <c r="D96" s="2">
        <v>17727</v>
      </c>
      <c r="E96" s="3"/>
      <c r="F96" s="16">
        <v>10000</v>
      </c>
    </row>
    <row r="97" spans="2:6" x14ac:dyDescent="0.3">
      <c r="B97" s="11" t="s">
        <v>139</v>
      </c>
      <c r="C97" s="14">
        <f t="shared" si="2"/>
        <v>22021.5</v>
      </c>
      <c r="D97" s="2">
        <v>12564</v>
      </c>
      <c r="E97" s="3"/>
      <c r="F97" s="16">
        <v>10000</v>
      </c>
    </row>
    <row r="98" spans="2:6" x14ac:dyDescent="0.3">
      <c r="B98" s="12" t="s">
        <v>140</v>
      </c>
      <c r="C98" s="14">
        <f t="shared" si="2"/>
        <v>22021.5</v>
      </c>
      <c r="D98" s="2">
        <v>19608</v>
      </c>
      <c r="E98" s="3"/>
      <c r="F98" s="16">
        <v>10000</v>
      </c>
    </row>
    <row r="99" spans="2:6" x14ac:dyDescent="0.3">
      <c r="B99" s="11" t="s">
        <v>141</v>
      </c>
      <c r="C99" s="14">
        <f t="shared" si="2"/>
        <v>22021.5</v>
      </c>
      <c r="D99" s="2">
        <v>13729</v>
      </c>
      <c r="E99" s="3"/>
      <c r="F99" s="16">
        <v>10000</v>
      </c>
    </row>
    <row r="100" spans="2:6" x14ac:dyDescent="0.3">
      <c r="B100" s="12" t="s">
        <v>142</v>
      </c>
      <c r="C100" s="14">
        <f t="shared" si="2"/>
        <v>22021.5</v>
      </c>
      <c r="D100" s="2">
        <v>19286</v>
      </c>
      <c r="E100" s="3"/>
      <c r="F100" s="16">
        <v>10000</v>
      </c>
    </row>
    <row r="101" spans="2:6" x14ac:dyDescent="0.3">
      <c r="B101" s="11" t="s">
        <v>143</v>
      </c>
      <c r="C101" s="14">
        <f t="shared" si="2"/>
        <v>22021.5</v>
      </c>
      <c r="D101" s="2">
        <v>19740</v>
      </c>
      <c r="E101" s="3"/>
      <c r="F101" s="16">
        <v>10000</v>
      </c>
    </row>
    <row r="102" spans="2:6" x14ac:dyDescent="0.3">
      <c r="B102" s="12" t="s">
        <v>144</v>
      </c>
      <c r="C102" s="14">
        <f t="shared" si="2"/>
        <v>22021.5</v>
      </c>
      <c r="D102" s="2">
        <v>16737</v>
      </c>
      <c r="E102" s="3"/>
      <c r="F102" s="16">
        <v>10000</v>
      </c>
    </row>
    <row r="103" spans="2:6" x14ac:dyDescent="0.3">
      <c r="B103" s="11" t="s">
        <v>145</v>
      </c>
      <c r="C103" s="14">
        <f t="shared" si="2"/>
        <v>22021.5</v>
      </c>
      <c r="D103" s="2">
        <v>5703</v>
      </c>
      <c r="E103" s="3"/>
      <c r="F103" s="16">
        <v>10000</v>
      </c>
    </row>
    <row r="104" spans="2:6" x14ac:dyDescent="0.3">
      <c r="B104" s="12" t="s">
        <v>146</v>
      </c>
      <c r="C104" s="14">
        <f t="shared" si="2"/>
        <v>22021.5</v>
      </c>
      <c r="D104" s="21">
        <f>22021.5*2.5</f>
        <v>55053.75</v>
      </c>
      <c r="E104" s="3"/>
      <c r="F104" s="16">
        <v>10000</v>
      </c>
    </row>
    <row r="105" spans="2:6" x14ac:dyDescent="0.3">
      <c r="B105" s="11" t="s">
        <v>147</v>
      </c>
      <c r="C105" s="14">
        <f t="shared" si="2"/>
        <v>22021.5</v>
      </c>
      <c r="D105" s="2">
        <v>16138</v>
      </c>
      <c r="E105" s="3"/>
      <c r="F105" s="16">
        <v>10000</v>
      </c>
    </row>
    <row r="106" spans="2:6" x14ac:dyDescent="0.3">
      <c r="B106" s="12" t="s">
        <v>148</v>
      </c>
      <c r="C106" s="14">
        <f t="shared" si="2"/>
        <v>22021.5</v>
      </c>
      <c r="D106" s="2">
        <v>20246</v>
      </c>
      <c r="E106" s="3"/>
      <c r="F106" s="16">
        <v>10000</v>
      </c>
    </row>
    <row r="107" spans="2:6" x14ac:dyDescent="0.3">
      <c r="B107" s="11" t="s">
        <v>149</v>
      </c>
      <c r="C107" s="14">
        <f t="shared" si="2"/>
        <v>22021.5</v>
      </c>
      <c r="D107" s="2">
        <v>2762</v>
      </c>
      <c r="E107" s="3"/>
      <c r="F107" s="16">
        <v>10000</v>
      </c>
    </row>
    <row r="108" spans="2:6" x14ac:dyDescent="0.3">
      <c r="B108" s="12" t="s">
        <v>150</v>
      </c>
      <c r="C108" s="14">
        <f t="shared" si="2"/>
        <v>22021.5</v>
      </c>
      <c r="D108" s="2">
        <v>3240</v>
      </c>
      <c r="E108" s="3"/>
      <c r="F108" s="16">
        <v>10000</v>
      </c>
    </row>
    <row r="109" spans="2:6" x14ac:dyDescent="0.3">
      <c r="B109" s="11" t="s">
        <v>151</v>
      </c>
      <c r="C109" s="14">
        <f t="shared" si="2"/>
        <v>22021.5</v>
      </c>
      <c r="D109" s="2">
        <v>20348</v>
      </c>
      <c r="E109" s="3"/>
      <c r="F109" s="16">
        <v>10000</v>
      </c>
    </row>
    <row r="110" spans="2:6" x14ac:dyDescent="0.3">
      <c r="B110" s="12" t="s">
        <v>152</v>
      </c>
      <c r="C110" s="14">
        <f t="shared" si="2"/>
        <v>22021.5</v>
      </c>
      <c r="D110" s="2">
        <v>19241</v>
      </c>
      <c r="E110" s="3"/>
      <c r="F110" s="16">
        <v>10000</v>
      </c>
    </row>
    <row r="111" spans="2:6" x14ac:dyDescent="0.3">
      <c r="B111" s="11" t="s">
        <v>153</v>
      </c>
      <c r="C111" s="14">
        <f t="shared" si="2"/>
        <v>22021.5</v>
      </c>
      <c r="D111" s="2">
        <v>19574</v>
      </c>
      <c r="E111" s="3"/>
      <c r="F111" s="16">
        <v>10000</v>
      </c>
    </row>
    <row r="112" spans="2:6" x14ac:dyDescent="0.3">
      <c r="B112" s="12" t="s">
        <v>154</v>
      </c>
      <c r="C112" s="14">
        <f t="shared" si="2"/>
        <v>22021.5</v>
      </c>
      <c r="D112" s="2">
        <v>21343</v>
      </c>
      <c r="E112" s="3"/>
      <c r="F112" s="16">
        <v>10000</v>
      </c>
    </row>
    <row r="113" spans="2:6" x14ac:dyDescent="0.3">
      <c r="B113" s="11" t="s">
        <v>155</v>
      </c>
      <c r="C113" s="14">
        <f t="shared" si="2"/>
        <v>22021.5</v>
      </c>
      <c r="D113" s="21">
        <f>22021.5*2.5</f>
        <v>55053.75</v>
      </c>
      <c r="E113" s="3"/>
      <c r="F113" s="16">
        <v>10000</v>
      </c>
    </row>
    <row r="114" spans="2:6" x14ac:dyDescent="0.3">
      <c r="B114" s="12" t="s">
        <v>156</v>
      </c>
      <c r="C114" s="14">
        <f t="shared" si="2"/>
        <v>22021.5</v>
      </c>
      <c r="D114" s="2">
        <v>9713</v>
      </c>
      <c r="E114" s="3"/>
      <c r="F114" s="16">
        <v>10000</v>
      </c>
    </row>
    <row r="115" spans="2:6" x14ac:dyDescent="0.3">
      <c r="B115" s="11" t="s">
        <v>157</v>
      </c>
      <c r="C115" s="14">
        <f t="shared" si="2"/>
        <v>22021.5</v>
      </c>
      <c r="D115" s="2">
        <v>14654</v>
      </c>
      <c r="E115" s="3"/>
      <c r="F115" s="16">
        <v>10000</v>
      </c>
    </row>
    <row r="116" spans="2:6" x14ac:dyDescent="0.3">
      <c r="B116" s="12" t="s">
        <v>158</v>
      </c>
      <c r="C116" s="14">
        <f t="shared" si="2"/>
        <v>22021.5</v>
      </c>
      <c r="D116" s="2">
        <v>2748</v>
      </c>
      <c r="E116" s="3"/>
      <c r="F116" s="16">
        <v>10000</v>
      </c>
    </row>
    <row r="117" spans="2:6" x14ac:dyDescent="0.3">
      <c r="B117" s="11" t="s">
        <v>159</v>
      </c>
      <c r="C117" s="14">
        <f t="shared" si="2"/>
        <v>22021.5</v>
      </c>
      <c r="D117" s="2">
        <v>1579</v>
      </c>
      <c r="E117" s="3"/>
      <c r="F117" s="16">
        <v>10000</v>
      </c>
    </row>
    <row r="118" spans="2:6" x14ac:dyDescent="0.3">
      <c r="B118" s="12" t="s">
        <v>160</v>
      </c>
      <c r="C118" s="14">
        <f t="shared" si="2"/>
        <v>22021.5</v>
      </c>
      <c r="D118" s="2">
        <v>19215</v>
      </c>
      <c r="E118" s="3"/>
      <c r="F118" s="16">
        <v>10000</v>
      </c>
    </row>
    <row r="119" spans="2:6" x14ac:dyDescent="0.3">
      <c r="B119" s="11" t="s">
        <v>161</v>
      </c>
      <c r="C119" s="14">
        <f t="shared" si="2"/>
        <v>22021.5</v>
      </c>
      <c r="D119" s="2">
        <v>7492</v>
      </c>
      <c r="E119" s="3"/>
      <c r="F119" s="16">
        <v>10000</v>
      </c>
    </row>
    <row r="120" spans="2:6" x14ac:dyDescent="0.3">
      <c r="B120" s="12" t="s">
        <v>162</v>
      </c>
      <c r="C120" s="14">
        <f t="shared" si="2"/>
        <v>22021.5</v>
      </c>
      <c r="D120" s="21">
        <f>22021.5*2.5</f>
        <v>55053.75</v>
      </c>
      <c r="E120" s="3"/>
      <c r="F120" s="16">
        <v>10000</v>
      </c>
    </row>
    <row r="121" spans="2:6" x14ac:dyDescent="0.3">
      <c r="B121" s="11" t="s">
        <v>163</v>
      </c>
      <c r="C121" s="14">
        <f t="shared" si="2"/>
        <v>22021.5</v>
      </c>
      <c r="D121" s="2">
        <v>14700</v>
      </c>
      <c r="E121" s="3"/>
      <c r="F121" s="16">
        <v>10000</v>
      </c>
    </row>
    <row r="122" spans="2:6" x14ac:dyDescent="0.3">
      <c r="B122" s="12" t="s">
        <v>164</v>
      </c>
      <c r="C122" s="14">
        <f t="shared" si="2"/>
        <v>22021.5</v>
      </c>
      <c r="D122" s="2">
        <v>19332</v>
      </c>
      <c r="E122" s="3"/>
      <c r="F122" s="16">
        <v>10000</v>
      </c>
    </row>
    <row r="123" spans="2:6" x14ac:dyDescent="0.3">
      <c r="B123" s="11" t="s">
        <v>165</v>
      </c>
      <c r="C123" s="14">
        <f t="shared" si="2"/>
        <v>22021.5</v>
      </c>
      <c r="D123" s="2">
        <v>20187</v>
      </c>
      <c r="E123" s="3"/>
      <c r="F123" s="16">
        <v>10000</v>
      </c>
    </row>
    <row r="124" spans="2:6" x14ac:dyDescent="0.3">
      <c r="B124" s="12" t="s">
        <v>166</v>
      </c>
      <c r="C124" s="14">
        <f t="shared" si="2"/>
        <v>22021.5</v>
      </c>
      <c r="D124" s="21">
        <f>22021.5*2.5</f>
        <v>55053.75</v>
      </c>
      <c r="E124" s="3"/>
      <c r="F124" s="16">
        <v>10000</v>
      </c>
    </row>
    <row r="125" spans="2:6" x14ac:dyDescent="0.3">
      <c r="B125" s="11" t="s">
        <v>167</v>
      </c>
      <c r="C125" s="14">
        <f t="shared" si="2"/>
        <v>22021.5</v>
      </c>
      <c r="D125" s="2">
        <v>8756</v>
      </c>
      <c r="E125" s="3"/>
      <c r="F125" s="16">
        <v>10000</v>
      </c>
    </row>
    <row r="126" spans="2:6" x14ac:dyDescent="0.3">
      <c r="B126" s="12" t="s">
        <v>168</v>
      </c>
      <c r="C126" s="14">
        <f t="shared" si="2"/>
        <v>22021.5</v>
      </c>
      <c r="D126" s="2">
        <v>3643</v>
      </c>
      <c r="E126" s="3"/>
      <c r="F126" s="16">
        <v>10000</v>
      </c>
    </row>
    <row r="127" spans="2:6" x14ac:dyDescent="0.3">
      <c r="B127" s="11" t="s">
        <v>169</v>
      </c>
      <c r="C127" s="14">
        <f t="shared" si="2"/>
        <v>22021.5</v>
      </c>
      <c r="D127" s="21">
        <f>22021.5*2.5</f>
        <v>55053.75</v>
      </c>
      <c r="E127" s="3"/>
      <c r="F127" s="16">
        <v>10000</v>
      </c>
    </row>
    <row r="128" spans="2:6" x14ac:dyDescent="0.3">
      <c r="B128" s="12"/>
    </row>
    <row r="129" spans="2:2" x14ac:dyDescent="0.3">
      <c r="B129" s="11"/>
    </row>
    <row r="130" spans="2:2" x14ac:dyDescent="0.3">
      <c r="B130" s="12"/>
    </row>
    <row r="131" spans="2:2" x14ac:dyDescent="0.3">
      <c r="B131" s="11"/>
    </row>
    <row r="132" spans="2:2" x14ac:dyDescent="0.3">
      <c r="B132" s="12"/>
    </row>
    <row r="133" spans="2:2" x14ac:dyDescent="0.3">
      <c r="B133" s="11"/>
    </row>
    <row r="134" spans="2:2" x14ac:dyDescent="0.3">
      <c r="B134" s="12"/>
    </row>
    <row r="135" spans="2:2" x14ac:dyDescent="0.3">
      <c r="B135" s="11"/>
    </row>
    <row r="136" spans="2:2" x14ac:dyDescent="0.3">
      <c r="B136" s="12"/>
    </row>
    <row r="137" spans="2:2" x14ac:dyDescent="0.3">
      <c r="B137" s="11"/>
    </row>
    <row r="138" spans="2:2" x14ac:dyDescent="0.3">
      <c r="B138" s="12"/>
    </row>
    <row r="139" spans="2:2" x14ac:dyDescent="0.3">
      <c r="B139" s="11"/>
    </row>
    <row r="140" spans="2:2" x14ac:dyDescent="0.3">
      <c r="B140" s="12"/>
    </row>
    <row r="141" spans="2:2" x14ac:dyDescent="0.3">
      <c r="B141" s="11"/>
    </row>
    <row r="142" spans="2:2" x14ac:dyDescent="0.3">
      <c r="B142" s="12"/>
    </row>
    <row r="143" spans="2:2" x14ac:dyDescent="0.3">
      <c r="B143" s="13"/>
    </row>
    <row r="144" spans="2:2" x14ac:dyDescent="0.3">
      <c r="B144" s="4"/>
    </row>
    <row r="145" spans="2:2" x14ac:dyDescent="0.3">
      <c r="B145" s="13"/>
    </row>
    <row r="146" spans="2:2" x14ac:dyDescent="0.3">
      <c r="B146" s="4"/>
    </row>
    <row r="147" spans="2:2" x14ac:dyDescent="0.3">
      <c r="B147" s="13"/>
    </row>
    <row r="148" spans="2:2" x14ac:dyDescent="0.3">
      <c r="B148" s="4"/>
    </row>
    <row r="149" spans="2:2" x14ac:dyDescent="0.3">
      <c r="B149" s="13"/>
    </row>
    <row r="150" spans="2:2" x14ac:dyDescent="0.3">
      <c r="B150" s="4"/>
    </row>
    <row r="151" spans="2:2" x14ac:dyDescent="0.3">
      <c r="B151" s="13"/>
    </row>
    <row r="152" spans="2:2" x14ac:dyDescent="0.3">
      <c r="B152" s="4"/>
    </row>
    <row r="153" spans="2:2" x14ac:dyDescent="0.3">
      <c r="B153" s="13"/>
    </row>
    <row r="154" spans="2:2" x14ac:dyDescent="0.3">
      <c r="B154" s="4"/>
    </row>
    <row r="155" spans="2:2" x14ac:dyDescent="0.3">
      <c r="B155" s="13"/>
    </row>
    <row r="156" spans="2:2" x14ac:dyDescent="0.3">
      <c r="B156" s="4"/>
    </row>
    <row r="157" spans="2:2" x14ac:dyDescent="0.3">
      <c r="B157" s="13"/>
    </row>
    <row r="158" spans="2:2" x14ac:dyDescent="0.3">
      <c r="B158" s="4"/>
    </row>
    <row r="159" spans="2:2" x14ac:dyDescent="0.3">
      <c r="B159" s="13"/>
    </row>
    <row r="160" spans="2:2" x14ac:dyDescent="0.3">
      <c r="B160" s="4"/>
    </row>
    <row r="161" spans="2:2" x14ac:dyDescent="0.3">
      <c r="B161" s="13"/>
    </row>
    <row r="162" spans="2:2" x14ac:dyDescent="0.3">
      <c r="B162" s="4"/>
    </row>
    <row r="163" spans="2:2" x14ac:dyDescent="0.3">
      <c r="B163" s="13"/>
    </row>
    <row r="164" spans="2:2" x14ac:dyDescent="0.3">
      <c r="B164" s="4"/>
    </row>
    <row r="165" spans="2:2" x14ac:dyDescent="0.3">
      <c r="B165" s="13"/>
    </row>
    <row r="166" spans="2:2" x14ac:dyDescent="0.3">
      <c r="B166" s="4"/>
    </row>
    <row r="167" spans="2:2" x14ac:dyDescent="0.3">
      <c r="B167" s="13"/>
    </row>
    <row r="168" spans="2:2" x14ac:dyDescent="0.3">
      <c r="B168" s="4"/>
    </row>
    <row r="169" spans="2:2" x14ac:dyDescent="0.3">
      <c r="B169" s="13"/>
    </row>
    <row r="170" spans="2:2" x14ac:dyDescent="0.3">
      <c r="B170" s="4"/>
    </row>
    <row r="171" spans="2:2" x14ac:dyDescent="0.3">
      <c r="B171" s="13"/>
    </row>
    <row r="172" spans="2:2" x14ac:dyDescent="0.3">
      <c r="B172" s="4"/>
    </row>
    <row r="173" spans="2:2" x14ac:dyDescent="0.3">
      <c r="B173" s="13"/>
    </row>
    <row r="174" spans="2:2" x14ac:dyDescent="0.3">
      <c r="B174" s="4"/>
    </row>
    <row r="175" spans="2:2" x14ac:dyDescent="0.3">
      <c r="B175" s="13"/>
    </row>
    <row r="176" spans="2:2" x14ac:dyDescent="0.3">
      <c r="B176" s="4"/>
    </row>
    <row r="177" spans="2:2" x14ac:dyDescent="0.3">
      <c r="B177" s="13"/>
    </row>
    <row r="178" spans="2:2" x14ac:dyDescent="0.3">
      <c r="B178" s="4"/>
    </row>
    <row r="179" spans="2:2" x14ac:dyDescent="0.3">
      <c r="B179" s="13"/>
    </row>
    <row r="180" spans="2:2" x14ac:dyDescent="0.3">
      <c r="B180" s="4"/>
    </row>
    <row r="181" spans="2:2" x14ac:dyDescent="0.3">
      <c r="B181" s="13"/>
    </row>
    <row r="182" spans="2:2" x14ac:dyDescent="0.3">
      <c r="B182" s="4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6276B-AAB8-48B0-839B-B886E1A19640}">
  <dimension ref="A1:I16"/>
  <sheetViews>
    <sheetView zoomScale="130" zoomScaleNormal="130" workbookViewId="0">
      <selection activeCell="D8" sqref="D8"/>
    </sheetView>
  </sheetViews>
  <sheetFormatPr defaultRowHeight="14.4" x14ac:dyDescent="0.3"/>
  <cols>
    <col min="1" max="1" width="13.44140625" bestFit="1" customWidth="1"/>
    <col min="11" max="11" width="14" customWidth="1"/>
    <col min="12" max="12" width="14.21875" customWidth="1"/>
  </cols>
  <sheetData>
    <row r="1" spans="1:9" x14ac:dyDescent="0.3">
      <c r="A1" t="s">
        <v>198</v>
      </c>
      <c r="B1" t="s">
        <v>186</v>
      </c>
      <c r="C1" t="s">
        <v>187</v>
      </c>
    </row>
    <row r="2" spans="1:9" x14ac:dyDescent="0.3">
      <c r="A2" t="s">
        <v>45</v>
      </c>
      <c r="B2" s="7">
        <v>55</v>
      </c>
      <c r="C2">
        <f>B2*0.5</f>
        <v>27.5</v>
      </c>
    </row>
    <row r="3" spans="1:9" x14ac:dyDescent="0.3">
      <c r="A3" t="s">
        <v>46</v>
      </c>
      <c r="B3" s="8">
        <v>22</v>
      </c>
      <c r="C3">
        <f t="shared" ref="C3:C10" si="0">B3*0.5</f>
        <v>11</v>
      </c>
    </row>
    <row r="4" spans="1:9" x14ac:dyDescent="0.3">
      <c r="A4" t="s">
        <v>47</v>
      </c>
      <c r="B4" s="7">
        <v>25</v>
      </c>
      <c r="C4">
        <f t="shared" si="0"/>
        <v>12.5</v>
      </c>
    </row>
    <row r="5" spans="1:9" x14ac:dyDescent="0.3">
      <c r="A5" t="s">
        <v>48</v>
      </c>
      <c r="B5" s="8">
        <v>66</v>
      </c>
      <c r="C5">
        <f t="shared" si="0"/>
        <v>33</v>
      </c>
    </row>
    <row r="6" spans="1:9" x14ac:dyDescent="0.3">
      <c r="A6" t="s">
        <v>49</v>
      </c>
      <c r="B6" s="7">
        <v>20</v>
      </c>
      <c r="C6">
        <f t="shared" si="0"/>
        <v>10</v>
      </c>
    </row>
    <row r="7" spans="1:9" x14ac:dyDescent="0.3">
      <c r="A7" t="s">
        <v>50</v>
      </c>
      <c r="B7" s="8">
        <v>30</v>
      </c>
      <c r="C7">
        <f t="shared" si="0"/>
        <v>15</v>
      </c>
    </row>
    <row r="8" spans="1:9" x14ac:dyDescent="0.3">
      <c r="A8" t="s">
        <v>51</v>
      </c>
      <c r="B8" s="7">
        <v>10</v>
      </c>
      <c r="C8">
        <f t="shared" si="0"/>
        <v>5</v>
      </c>
    </row>
    <row r="9" spans="1:9" x14ac:dyDescent="0.3">
      <c r="A9" t="s">
        <v>52</v>
      </c>
      <c r="B9" s="8">
        <v>55</v>
      </c>
      <c r="C9">
        <f t="shared" si="0"/>
        <v>27.5</v>
      </c>
    </row>
    <row r="10" spans="1:9" x14ac:dyDescent="0.3">
      <c r="A10" t="s">
        <v>53</v>
      </c>
      <c r="B10" s="7">
        <v>88</v>
      </c>
      <c r="C10">
        <f t="shared" si="0"/>
        <v>44</v>
      </c>
    </row>
    <row r="12" spans="1:9" x14ac:dyDescent="0.3">
      <c r="H12" t="s">
        <v>199</v>
      </c>
      <c r="I12" t="s">
        <v>201</v>
      </c>
    </row>
    <row r="13" spans="1:9" x14ac:dyDescent="0.3">
      <c r="H13" t="s">
        <v>200</v>
      </c>
      <c r="I13" t="s">
        <v>202</v>
      </c>
    </row>
    <row r="15" spans="1:9" x14ac:dyDescent="0.3">
      <c r="A15" t="s">
        <v>199</v>
      </c>
      <c r="B15" t="s">
        <v>201</v>
      </c>
    </row>
    <row r="16" spans="1:9" x14ac:dyDescent="0.3">
      <c r="A16" t="s">
        <v>200</v>
      </c>
      <c r="B16" t="s">
        <v>202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DE31A-D049-4692-8B74-F69FC1E2ADA9}">
  <dimension ref="A1:F20"/>
  <sheetViews>
    <sheetView workbookViewId="0">
      <selection activeCell="A2" sqref="A2:A20"/>
    </sheetView>
  </sheetViews>
  <sheetFormatPr defaultRowHeight="14.4" x14ac:dyDescent="0.3"/>
  <cols>
    <col min="1" max="1" width="13.44140625" bestFit="1" customWidth="1"/>
  </cols>
  <sheetData>
    <row r="1" spans="1:6" x14ac:dyDescent="0.3">
      <c r="A1" t="s">
        <v>203</v>
      </c>
      <c r="B1" t="s">
        <v>204</v>
      </c>
      <c r="C1" t="s">
        <v>43</v>
      </c>
    </row>
    <row r="2" spans="1:6" x14ac:dyDescent="0.3">
      <c r="A2" t="s">
        <v>45</v>
      </c>
      <c r="B2" s="7">
        <v>2.8</v>
      </c>
    </row>
    <row r="3" spans="1:6" x14ac:dyDescent="0.3">
      <c r="A3" t="s">
        <v>46</v>
      </c>
      <c r="B3" s="8">
        <v>3.3</v>
      </c>
    </row>
    <row r="4" spans="1:6" x14ac:dyDescent="0.3">
      <c r="A4" t="s">
        <v>47</v>
      </c>
      <c r="B4" s="7">
        <v>3.2</v>
      </c>
    </row>
    <row r="5" spans="1:6" x14ac:dyDescent="0.3">
      <c r="A5" t="s">
        <v>48</v>
      </c>
      <c r="B5" s="8">
        <v>2.1</v>
      </c>
    </row>
    <row r="6" spans="1:6" x14ac:dyDescent="0.3">
      <c r="A6" t="s">
        <v>49</v>
      </c>
      <c r="B6" s="7">
        <v>2.5</v>
      </c>
    </row>
    <row r="7" spans="1:6" x14ac:dyDescent="0.3">
      <c r="A7" t="s">
        <v>50</v>
      </c>
      <c r="B7" s="8">
        <v>2.4</v>
      </c>
    </row>
    <row r="8" spans="1:6" x14ac:dyDescent="0.3">
      <c r="A8" t="s">
        <v>51</v>
      </c>
      <c r="B8" s="7">
        <v>3.9</v>
      </c>
    </row>
    <row r="9" spans="1:6" x14ac:dyDescent="0.3">
      <c r="A9" t="s">
        <v>52</v>
      </c>
      <c r="B9" s="8">
        <v>3.82</v>
      </c>
      <c r="E9" t="s">
        <v>205</v>
      </c>
      <c r="F9" t="s">
        <v>43</v>
      </c>
    </row>
    <row r="10" spans="1:6" x14ac:dyDescent="0.3">
      <c r="A10" t="s">
        <v>53</v>
      </c>
      <c r="B10" s="7">
        <v>2.9</v>
      </c>
      <c r="E10" t="s">
        <v>208</v>
      </c>
      <c r="F10" t="s">
        <v>206</v>
      </c>
    </row>
    <row r="11" spans="1:6" x14ac:dyDescent="0.3">
      <c r="A11" t="s">
        <v>54</v>
      </c>
      <c r="B11" s="8">
        <v>1.8</v>
      </c>
      <c r="E11" t="s">
        <v>209</v>
      </c>
      <c r="F11" t="s">
        <v>207</v>
      </c>
    </row>
    <row r="12" spans="1:6" x14ac:dyDescent="0.3">
      <c r="A12" t="s">
        <v>55</v>
      </c>
      <c r="B12" s="7">
        <v>1.6</v>
      </c>
      <c r="E12" t="s">
        <v>210</v>
      </c>
      <c r="F12" t="s">
        <v>211</v>
      </c>
    </row>
    <row r="13" spans="1:6" x14ac:dyDescent="0.3">
      <c r="A13" t="s">
        <v>56</v>
      </c>
      <c r="B13" s="8">
        <v>2.7</v>
      </c>
    </row>
    <row r="14" spans="1:6" x14ac:dyDescent="0.3">
      <c r="A14" t="s">
        <v>57</v>
      </c>
      <c r="B14" s="7">
        <v>3.6</v>
      </c>
    </row>
    <row r="15" spans="1:6" x14ac:dyDescent="0.3">
      <c r="A15" t="s">
        <v>58</v>
      </c>
      <c r="B15" s="8">
        <v>3.4</v>
      </c>
    </row>
    <row r="16" spans="1:6" x14ac:dyDescent="0.3">
      <c r="A16" t="s">
        <v>59</v>
      </c>
      <c r="B16" s="7">
        <v>1.9</v>
      </c>
    </row>
    <row r="17" spans="1:2" x14ac:dyDescent="0.3">
      <c r="A17" t="s">
        <v>60</v>
      </c>
      <c r="B17" s="8">
        <v>1.77</v>
      </c>
    </row>
    <row r="18" spans="1:2" x14ac:dyDescent="0.3">
      <c r="A18" t="s">
        <v>61</v>
      </c>
      <c r="B18" s="7">
        <v>3.98</v>
      </c>
    </row>
    <row r="19" spans="1:2" x14ac:dyDescent="0.3">
      <c r="A19" t="s">
        <v>62</v>
      </c>
      <c r="B19" s="8">
        <v>3.26</v>
      </c>
    </row>
    <row r="20" spans="1:2" x14ac:dyDescent="0.3">
      <c r="A20" t="s">
        <v>63</v>
      </c>
      <c r="B20" s="7">
        <v>2.56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DCFA49-A6AE-41BC-9AC4-4DF9B455F9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1st</vt:lpstr>
      <vt:lpstr>2nd</vt:lpstr>
      <vt:lpstr>3rd</vt:lpstr>
      <vt:lpstr>Test1</vt:lpstr>
      <vt:lpstr>test2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SYLVIA ATIA</cp:lastModifiedBy>
  <dcterms:created xsi:type="dcterms:W3CDTF">2023-12-03T03:44:40Z</dcterms:created>
  <dcterms:modified xsi:type="dcterms:W3CDTF">2026-01-25T14:49:37Z</dcterms:modified>
</cp:coreProperties>
</file>