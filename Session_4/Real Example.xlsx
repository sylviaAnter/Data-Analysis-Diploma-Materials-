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"/>
    </mc:Choice>
  </mc:AlternateContent>
  <xr:revisionPtr revIDLastSave="0" documentId="13_ncr:1_{31D849C5-E2CF-4D29-A2BE-AEFA1A1B2BDA}" xr6:coauthVersionLast="47" xr6:coauthVersionMax="47" xr10:uidLastSave="{00000000-0000-0000-0000-000000000000}"/>
  <bookViews>
    <workbookView xWindow="-108" yWindow="-108" windowWidth="23256" windowHeight="12576" xr2:uid="{B7899A09-BD16-40FF-AB5F-577A2AD93E55}"/>
  </bookViews>
  <sheets>
    <sheet name="Sheet1" sheetId="1" r:id="rId1"/>
    <sheet name="EX_1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7" i="4" l="1"/>
  <c r="G127" i="4"/>
  <c r="F127" i="4"/>
  <c r="E127" i="4"/>
  <c r="D127" i="4"/>
  <c r="C127" i="4"/>
  <c r="H106" i="4"/>
  <c r="G106" i="4"/>
  <c r="F106" i="4"/>
  <c r="E106" i="4"/>
  <c r="D106" i="4"/>
  <c r="C106" i="4"/>
  <c r="H85" i="4"/>
  <c r="G85" i="4"/>
  <c r="F85" i="4"/>
  <c r="E85" i="4"/>
  <c r="D85" i="4"/>
  <c r="C85" i="4"/>
  <c r="H64" i="4"/>
  <c r="G64" i="4"/>
  <c r="F64" i="4"/>
  <c r="E64" i="4"/>
  <c r="D64" i="4"/>
  <c r="C64" i="4"/>
  <c r="H44" i="4"/>
  <c r="G44" i="4"/>
  <c r="F44" i="4"/>
  <c r="E44" i="4"/>
  <c r="D44" i="4"/>
  <c r="C44" i="4"/>
  <c r="H23" i="4"/>
  <c r="G23" i="4"/>
  <c r="F23" i="4"/>
  <c r="E23" i="4"/>
  <c r="D23" i="4"/>
  <c r="C23" i="4"/>
  <c r="D24" i="1"/>
  <c r="D23" i="1"/>
  <c r="D22" i="1"/>
  <c r="D21" i="1"/>
  <c r="D20" i="1"/>
  <c r="D18" i="1"/>
  <c r="D17" i="1"/>
  <c r="D16" i="1"/>
  <c r="D15" i="1"/>
  <c r="D13" i="1"/>
  <c r="D12" i="1"/>
  <c r="D11" i="1"/>
  <c r="D9" i="1"/>
  <c r="D8" i="1"/>
  <c r="D7" i="1"/>
  <c r="C5" i="1"/>
  <c r="D5" i="1" s="1"/>
  <c r="D4" i="1"/>
  <c r="C3" i="1"/>
  <c r="D3" i="1" s="1"/>
  <c r="C128" i="4" l="1"/>
  <c r="H128" i="4"/>
  <c r="D128" i="4"/>
  <c r="F128" i="4"/>
  <c r="G128" i="4"/>
  <c r="E128" i="4"/>
</calcChain>
</file>

<file path=xl/sharedStrings.xml><?xml version="1.0" encoding="utf-8"?>
<sst xmlns="http://schemas.openxmlformats.org/spreadsheetml/2006/main" count="458" uniqueCount="107">
  <si>
    <t>Column1</t>
  </si>
  <si>
    <t>Revenue</t>
  </si>
  <si>
    <t>-</t>
  </si>
  <si>
    <t>Ramy</t>
  </si>
  <si>
    <t>Nada</t>
  </si>
  <si>
    <t>Faida</t>
  </si>
  <si>
    <t>shady</t>
  </si>
  <si>
    <t>hany</t>
  </si>
  <si>
    <t>Q1 2017</t>
  </si>
  <si>
    <t>Q2 2017</t>
  </si>
  <si>
    <t>Q3 2017</t>
  </si>
  <si>
    <t>Q4 2017</t>
  </si>
  <si>
    <t>Q3 2016</t>
  </si>
  <si>
    <t>Q4 2016</t>
  </si>
  <si>
    <t>Q1 2018</t>
  </si>
  <si>
    <t>Mobile Sales</t>
  </si>
  <si>
    <t>Computer Sales</t>
  </si>
  <si>
    <t>Electronics</t>
  </si>
  <si>
    <t>Tablet Sales</t>
  </si>
  <si>
    <t>Laptop Sales</t>
  </si>
  <si>
    <t>Date</t>
  </si>
  <si>
    <t>Mobile</t>
  </si>
  <si>
    <t>Laptop</t>
  </si>
  <si>
    <t>Bags</t>
  </si>
  <si>
    <t>Computers</t>
  </si>
  <si>
    <t>Software Apps</t>
  </si>
  <si>
    <t>Hardware Apps</t>
  </si>
  <si>
    <t>District</t>
  </si>
  <si>
    <t>Assuit</t>
  </si>
  <si>
    <t>Alex</t>
  </si>
  <si>
    <t>UE</t>
  </si>
  <si>
    <t>Giza</t>
  </si>
  <si>
    <t>Tanta</t>
  </si>
  <si>
    <t>Ahmed ALY</t>
  </si>
  <si>
    <t>Mohamed Ahmed</t>
  </si>
  <si>
    <t>Aya Hany</t>
  </si>
  <si>
    <t>Omnia Sameh</t>
  </si>
  <si>
    <t>Karim Ayman</t>
  </si>
  <si>
    <t>Maged Hammed</t>
  </si>
  <si>
    <t>Sally Walid</t>
  </si>
  <si>
    <t>Ahmed Fahmy</t>
  </si>
  <si>
    <t>Wael Ibrahim</t>
  </si>
  <si>
    <t xml:space="preserve">Actual </t>
  </si>
  <si>
    <t>Target</t>
  </si>
  <si>
    <t>Actual</t>
  </si>
  <si>
    <t>Budget</t>
  </si>
  <si>
    <t>Customer Name</t>
  </si>
  <si>
    <t>Article Description</t>
  </si>
  <si>
    <t>Aida GmbH</t>
  </si>
  <si>
    <t>Laptop bag (black)</t>
  </si>
  <si>
    <t>Laptop bag (red)</t>
  </si>
  <si>
    <t/>
  </si>
  <si>
    <t>Men dress shirt (black)</t>
  </si>
  <si>
    <t>Men dress shirt (gray)</t>
  </si>
  <si>
    <t>Men dress shirt (white)</t>
  </si>
  <si>
    <t>Men shorts (black)</t>
  </si>
  <si>
    <t>Men shorts (gray)</t>
  </si>
  <si>
    <t>Men type T (Brown) simple</t>
  </si>
  <si>
    <t>Men type T simple (black)</t>
  </si>
  <si>
    <t xml:space="preserve">Men type T simple (white) </t>
  </si>
  <si>
    <t>Smartphone case diamond</t>
  </si>
  <si>
    <t>Smartphone case simple</t>
  </si>
  <si>
    <t>Unisex tank top (black)</t>
  </si>
  <si>
    <t>Unisex tank top (white)</t>
  </si>
  <si>
    <t>Women crop top (black)</t>
  </si>
  <si>
    <t>Women dress (black) long</t>
  </si>
  <si>
    <t>Women dress (red) Cocktail</t>
  </si>
  <si>
    <t>Women type T (black) simple</t>
  </si>
  <si>
    <t>Women type T (white) simple</t>
  </si>
  <si>
    <t>Women type T simple (red)</t>
  </si>
  <si>
    <t>Aida GmbH Total</t>
  </si>
  <si>
    <t>Dellicia</t>
  </si>
  <si>
    <t>Dellicia Total</t>
  </si>
  <si>
    <t>Edson</t>
  </si>
  <si>
    <t>Edson Total</t>
  </si>
  <si>
    <t>Erma</t>
  </si>
  <si>
    <t>Erma Total</t>
  </si>
  <si>
    <t>Liebher</t>
  </si>
  <si>
    <t>Liebher Total</t>
  </si>
  <si>
    <t>Werner Strauss</t>
  </si>
  <si>
    <t>Werner Strauss Total</t>
  </si>
  <si>
    <t>Grand Total</t>
  </si>
  <si>
    <t>Second Class</t>
  </si>
  <si>
    <t>CA-2014-103800</t>
  </si>
  <si>
    <t>Technology</t>
  </si>
  <si>
    <t>TE-EP</t>
  </si>
  <si>
    <t>Ahmed</t>
  </si>
  <si>
    <t>Furniture</t>
  </si>
  <si>
    <t>Fu-EP</t>
  </si>
  <si>
    <t>Mohamed</t>
  </si>
  <si>
    <t>Office Supplies</t>
  </si>
  <si>
    <t>Of-EP</t>
  </si>
  <si>
    <t>Aly</t>
  </si>
  <si>
    <t>Standard Class</t>
  </si>
  <si>
    <t>CA-2014-130092</t>
  </si>
  <si>
    <t>Same Day</t>
  </si>
  <si>
    <t>CA-2014-115791</t>
  </si>
  <si>
    <t>First Class</t>
  </si>
  <si>
    <t>CA-2014-167927</t>
  </si>
  <si>
    <t>CA-2014-104780</t>
  </si>
  <si>
    <t>CA-2014-104808</t>
  </si>
  <si>
    <t>CA-2014-104976</t>
  </si>
  <si>
    <t>CA-2014-104829</t>
  </si>
  <si>
    <t>CA-2014-116246</t>
  </si>
  <si>
    <t>CA-2014-116407</t>
  </si>
  <si>
    <t>CA-2014-116568</t>
  </si>
  <si>
    <t>CA-2014-116666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</si>
</sst>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6" formatCode="[$-409]mmm\-yy;@"/>
    <numFmt numFmtId="167" formatCode="mmmm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Helvetica 45 Light"/>
      <family val="2"/>
    </font>
    <font>
      <sz val="11"/>
      <color theme="1"/>
      <name val="Helvetica 45 Light"/>
      <family val="2"/>
    </font>
    <font>
      <sz val="11"/>
      <color theme="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rgb="FF589897"/>
      </bottom>
      <diagonal/>
    </border>
    <border>
      <left/>
      <right/>
      <top/>
      <bottom style="thick">
        <color theme="8" tint="0.5999633777886288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47">
    <xf numFmtId="0" fontId="0" fillId="0" borderId="0" xfId="0"/>
    <xf numFmtId="0" fontId="0" fillId="3" borderId="2" xfId="0" applyFill="1" applyBorder="1" applyAlignment="1">
      <alignment horizontal="center"/>
    </xf>
    <xf numFmtId="164" fontId="3" fillId="3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0" fillId="3" borderId="1" xfId="1" applyNumberFormat="1" applyFont="1" applyFill="1" applyBorder="1" applyAlignment="1"/>
    <xf numFmtId="164" fontId="5" fillId="3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4" fontId="0" fillId="4" borderId="2" xfId="0" applyNumberFormat="1" applyFill="1" applyBorder="1"/>
    <xf numFmtId="164" fontId="0" fillId="0" borderId="2" xfId="0" applyNumberFormat="1" applyBorder="1"/>
    <xf numFmtId="0" fontId="0" fillId="5" borderId="2" xfId="0" applyFill="1" applyBorder="1"/>
    <xf numFmtId="164" fontId="3" fillId="3" borderId="2" xfId="0" applyNumberFormat="1" applyFont="1" applyFill="1" applyBorder="1"/>
    <xf numFmtId="164" fontId="4" fillId="3" borderId="2" xfId="1" applyNumberFormat="1" applyFont="1" applyFill="1" applyBorder="1" applyAlignme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7" fillId="0" borderId="10" xfId="0" applyFont="1" applyBorder="1" applyAlignment="1">
      <alignment horizontal="centerContinuous"/>
    </xf>
    <xf numFmtId="0" fontId="7" fillId="0" borderId="11" xfId="0" applyFont="1" applyBorder="1" applyAlignment="1">
      <alignment horizontal="centerContinuous"/>
    </xf>
    <xf numFmtId="0" fontId="7" fillId="0" borderId="0" xfId="0" applyFont="1"/>
    <xf numFmtId="167" fontId="7" fillId="0" borderId="0" xfId="0" applyNumberFormat="1" applyFont="1"/>
    <xf numFmtId="164" fontId="0" fillId="0" borderId="0" xfId="1" applyNumberFormat="1" applyFont="1"/>
    <xf numFmtId="0" fontId="7" fillId="0" borderId="12" xfId="0" applyFont="1" applyBorder="1"/>
    <xf numFmtId="164" fontId="7" fillId="0" borderId="12" xfId="1" applyNumberFormat="1" applyFont="1" applyBorder="1"/>
    <xf numFmtId="0" fontId="7" fillId="0" borderId="13" xfId="0" applyFont="1" applyBorder="1"/>
    <xf numFmtId="164" fontId="7" fillId="0" borderId="13" xfId="1" applyNumberFormat="1" applyFont="1" applyBorder="1"/>
    <xf numFmtId="14" fontId="0" fillId="0" borderId="0" xfId="0" applyNumberFormat="1" applyAlignment="1">
      <alignment horizontal="left"/>
    </xf>
    <xf numFmtId="0" fontId="8" fillId="4" borderId="14" xfId="2" applyFill="1" applyBorder="1"/>
    <xf numFmtId="0" fontId="0" fillId="0" borderId="0" xfId="0" applyAlignment="1">
      <alignment horizontal="left" indent="1"/>
    </xf>
    <xf numFmtId="14" fontId="2" fillId="0" borderId="15" xfId="0" applyNumberFormat="1" applyFont="1" applyBorder="1" applyAlignment="1">
      <alignment horizontal="left"/>
    </xf>
    <xf numFmtId="0" fontId="8" fillId="8" borderId="14" xfId="2" applyFill="1" applyBorder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Normal 2" xfId="2" xr:uid="{E0BE10F1-2DB7-41F9-B8A9-3BBF28EF0445}"/>
  </cellStyles>
  <dxfs count="10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1729B-A3A4-4B0E-ABAA-5B648BF5F3EC}" name="Table2" displayName="Table2" ref="A1:G36" totalsRowShown="0" headerRowDxfId="0" dataDxfId="1" tableBorderDxfId="9">
  <autoFilter ref="A1:G36" xr:uid="{6C01729B-A3A4-4B0E-ABAA-5B648BF5F3EC}"/>
  <tableColumns count="7">
    <tableColumn id="1" xr3:uid="{E1D34D5D-5A07-4B93-A6A3-90A0409DFE4D}" name="Column1" dataDxfId="8"/>
    <tableColumn id="2" xr3:uid="{F0A6C0B6-764B-4C3E-8642-15FA8B18A87E}" name="Mobile Sales" dataDxfId="7"/>
    <tableColumn id="4" xr3:uid="{E135F9C7-AD2B-45B0-B6BB-D4BA9E79B10D}" name="Computer Sales" dataDxfId="6"/>
    <tableColumn id="6" xr3:uid="{8EE1E5E7-8207-492A-9D58-AFAFB5AD3980}" name="Electronics" dataDxfId="5"/>
    <tableColumn id="8" xr3:uid="{F2053D40-CDAE-440C-8CBC-98EBB3163082}" name="Tablet Sales" dataDxfId="4"/>
    <tableColumn id="10" xr3:uid="{EE3CB917-25C2-4F3F-A00B-AB511D4A6110}" name="Laptop Sales" dataDxfId="3"/>
    <tableColumn id="13" xr3:uid="{C4BE6BF5-8943-412F-87DF-5F1E75CCB180}" name="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B58F-E0CE-480D-979D-4B207B388F26}">
  <dimension ref="A1:G36"/>
  <sheetViews>
    <sheetView tabSelected="1" workbookViewId="0">
      <selection activeCell="L13" sqref="L13"/>
    </sheetView>
  </sheetViews>
  <sheetFormatPr defaultRowHeight="14.4"/>
  <cols>
    <col min="1" max="1" width="10.44140625" customWidth="1"/>
    <col min="2" max="2" width="16" bestFit="1" customWidth="1"/>
    <col min="3" max="3" width="18.6640625" bestFit="1" customWidth="1"/>
    <col min="4" max="4" width="14.44140625" bestFit="1" customWidth="1"/>
    <col min="5" max="5" width="15.33203125" bestFit="1" customWidth="1"/>
    <col min="6" max="6" width="16" bestFit="1" customWidth="1"/>
    <col min="7" max="7" width="12.77734375" bestFit="1" customWidth="1"/>
  </cols>
  <sheetData>
    <row r="1" spans="1:7">
      <c r="A1" s="16" t="s">
        <v>0</v>
      </c>
      <c r="B1" s="23" t="s">
        <v>15</v>
      </c>
      <c r="C1" s="23" t="s">
        <v>16</v>
      </c>
      <c r="D1" s="24" t="s">
        <v>17</v>
      </c>
      <c r="E1" s="23" t="s">
        <v>18</v>
      </c>
      <c r="F1" s="23" t="s">
        <v>19</v>
      </c>
      <c r="G1" s="25" t="s">
        <v>1</v>
      </c>
    </row>
    <row r="2" spans="1:7">
      <c r="A2" s="8" t="s">
        <v>12</v>
      </c>
      <c r="B2" s="11"/>
      <c r="C2" s="11"/>
      <c r="D2" s="12"/>
      <c r="E2" s="11"/>
      <c r="F2" s="11"/>
      <c r="G2" s="17"/>
    </row>
    <row r="3" spans="1:7">
      <c r="A3" s="1" t="s">
        <v>4</v>
      </c>
      <c r="B3" s="2">
        <v>85</v>
      </c>
      <c r="C3" s="2">
        <f>195-150</f>
        <v>45</v>
      </c>
      <c r="D3" s="6">
        <f>B3+C3</f>
        <v>130</v>
      </c>
      <c r="E3" s="2">
        <v>19</v>
      </c>
      <c r="F3" s="2">
        <v>360</v>
      </c>
      <c r="G3" s="18">
        <v>2832437.0057089273</v>
      </c>
    </row>
    <row r="4" spans="1:7">
      <c r="A4" s="1" t="s">
        <v>5</v>
      </c>
      <c r="B4" s="2">
        <v>3</v>
      </c>
      <c r="C4" s="2">
        <v>55</v>
      </c>
      <c r="D4" s="3">
        <f>B4+C4</f>
        <v>58</v>
      </c>
      <c r="E4" s="2">
        <v>1</v>
      </c>
      <c r="F4" s="2">
        <v>2235</v>
      </c>
      <c r="G4" s="19">
        <v>3712711.8522976795</v>
      </c>
    </row>
    <row r="5" spans="1:7">
      <c r="A5" s="1" t="s">
        <v>6</v>
      </c>
      <c r="B5" s="2">
        <v>5</v>
      </c>
      <c r="C5" s="2">
        <f>277+150</f>
        <v>427</v>
      </c>
      <c r="D5" s="6">
        <f>B5+C5</f>
        <v>432</v>
      </c>
      <c r="E5" s="2">
        <v>0</v>
      </c>
      <c r="F5" s="2">
        <v>0</v>
      </c>
      <c r="G5" s="18">
        <v>3178520.0239283983</v>
      </c>
    </row>
    <row r="6" spans="1:7">
      <c r="A6" s="13" t="s">
        <v>13</v>
      </c>
      <c r="B6" s="9"/>
      <c r="C6" s="9"/>
      <c r="D6" s="9"/>
      <c r="E6" s="9"/>
      <c r="F6" s="9"/>
      <c r="G6" s="20"/>
    </row>
    <row r="7" spans="1:7">
      <c r="A7" s="1" t="s">
        <v>4</v>
      </c>
      <c r="B7" s="2">
        <v>14</v>
      </c>
      <c r="C7" s="2">
        <v>54</v>
      </c>
      <c r="D7" s="6">
        <f>B7+C7</f>
        <v>68</v>
      </c>
      <c r="E7" s="2">
        <v>58</v>
      </c>
      <c r="F7" s="2">
        <v>61</v>
      </c>
      <c r="G7" s="21">
        <v>2609170.9662391599</v>
      </c>
    </row>
    <row r="8" spans="1:7">
      <c r="A8" s="1" t="s">
        <v>5</v>
      </c>
      <c r="B8" s="2">
        <v>8</v>
      </c>
      <c r="C8" s="2">
        <v>260</v>
      </c>
      <c r="D8" s="3">
        <f>B8+C8</f>
        <v>268</v>
      </c>
      <c r="E8" s="2">
        <v>15</v>
      </c>
      <c r="F8" s="2">
        <v>91</v>
      </c>
      <c r="G8" s="21">
        <v>2674098.3703730735</v>
      </c>
    </row>
    <row r="9" spans="1:7">
      <c r="A9" s="1" t="s">
        <v>6</v>
      </c>
      <c r="B9" s="2">
        <v>64</v>
      </c>
      <c r="C9" s="2">
        <v>182</v>
      </c>
      <c r="D9" s="6">
        <f>B9+C9</f>
        <v>246</v>
      </c>
      <c r="E9" s="2">
        <v>0</v>
      </c>
      <c r="F9" s="2">
        <v>142</v>
      </c>
      <c r="G9" s="21">
        <v>2654072.4815144166</v>
      </c>
    </row>
    <row r="10" spans="1:7">
      <c r="A10" s="13" t="s">
        <v>8</v>
      </c>
      <c r="B10" s="9"/>
      <c r="C10" s="9"/>
      <c r="D10" s="9"/>
      <c r="E10" s="9"/>
      <c r="F10" s="9"/>
      <c r="G10" s="20"/>
    </row>
    <row r="11" spans="1:7">
      <c r="A11" s="1" t="s">
        <v>4</v>
      </c>
      <c r="B11" s="4">
        <v>11</v>
      </c>
      <c r="C11" s="4">
        <v>96</v>
      </c>
      <c r="D11" s="6">
        <f>B11+C11</f>
        <v>107</v>
      </c>
      <c r="E11" s="4">
        <v>42</v>
      </c>
      <c r="F11" s="4">
        <v>36</v>
      </c>
      <c r="G11" s="22">
        <v>2784186.9879616392</v>
      </c>
    </row>
    <row r="12" spans="1:7">
      <c r="A12" s="1" t="s">
        <v>5</v>
      </c>
      <c r="B12" s="4">
        <v>2</v>
      </c>
      <c r="C12" s="4">
        <v>82</v>
      </c>
      <c r="D12" s="3">
        <f>B12+C12</f>
        <v>84</v>
      </c>
      <c r="E12" s="4">
        <v>17</v>
      </c>
      <c r="F12" s="4">
        <v>61</v>
      </c>
      <c r="G12" s="22">
        <v>3079969.1855282565</v>
      </c>
    </row>
    <row r="13" spans="1:7">
      <c r="A13" s="1" t="s">
        <v>6</v>
      </c>
      <c r="B13" s="4">
        <v>16</v>
      </c>
      <c r="C13" s="4">
        <v>64</v>
      </c>
      <c r="D13" s="6">
        <f>B13+C13</f>
        <v>80</v>
      </c>
      <c r="E13" s="4">
        <v>18</v>
      </c>
      <c r="F13" s="4">
        <v>83</v>
      </c>
      <c r="G13" s="22">
        <v>3479618.0819814247</v>
      </c>
    </row>
    <row r="14" spans="1:7">
      <c r="A14" s="14" t="s">
        <v>9</v>
      </c>
      <c r="B14" s="10"/>
      <c r="C14" s="10"/>
      <c r="D14" s="9"/>
      <c r="E14" s="10"/>
      <c r="F14" s="10"/>
      <c r="G14" s="20"/>
    </row>
    <row r="15" spans="1:7">
      <c r="A15" s="1" t="s">
        <v>4</v>
      </c>
      <c r="B15" s="7">
        <v>23</v>
      </c>
      <c r="C15" s="7">
        <v>28</v>
      </c>
      <c r="D15" s="6">
        <f>B15+C15</f>
        <v>51</v>
      </c>
      <c r="E15" s="7">
        <v>15</v>
      </c>
      <c r="F15" s="4">
        <v>67</v>
      </c>
      <c r="G15" s="18">
        <v>3053462.07481422</v>
      </c>
    </row>
    <row r="16" spans="1:7">
      <c r="A16" s="1" t="s">
        <v>5</v>
      </c>
      <c r="B16" s="3">
        <v>597</v>
      </c>
      <c r="C16" s="3">
        <v>103</v>
      </c>
      <c r="D16" s="3">
        <f>B16+C16</f>
        <v>700</v>
      </c>
      <c r="E16" s="3">
        <v>20</v>
      </c>
      <c r="F16" s="4">
        <v>184</v>
      </c>
      <c r="G16" s="19">
        <v>3448039.82646127</v>
      </c>
    </row>
    <row r="17" spans="1:7">
      <c r="A17" s="1" t="s">
        <v>6</v>
      </c>
      <c r="B17" s="6">
        <v>2</v>
      </c>
      <c r="C17" s="6">
        <v>125</v>
      </c>
      <c r="D17" s="6">
        <f>B17+C17</f>
        <v>127</v>
      </c>
      <c r="E17" s="6">
        <v>22</v>
      </c>
      <c r="F17" s="4">
        <v>305</v>
      </c>
      <c r="G17" s="18">
        <v>3544684.0112143257</v>
      </c>
    </row>
    <row r="18" spans="1:7">
      <c r="A18" s="15" t="s">
        <v>7</v>
      </c>
      <c r="B18" s="3">
        <v>57</v>
      </c>
      <c r="C18" s="3">
        <v>182</v>
      </c>
      <c r="D18" s="3">
        <f>B18+C18</f>
        <v>239</v>
      </c>
      <c r="E18" s="3">
        <v>1</v>
      </c>
      <c r="F18" s="3" t="s">
        <v>2</v>
      </c>
      <c r="G18" s="19">
        <v>3764534.7269273303</v>
      </c>
    </row>
    <row r="19" spans="1:7">
      <c r="A19" s="8" t="s">
        <v>10</v>
      </c>
      <c r="B19" s="11"/>
      <c r="C19" s="11"/>
      <c r="D19" s="12"/>
      <c r="E19" s="11"/>
      <c r="F19" s="11"/>
      <c r="G19" s="17"/>
    </row>
    <row r="20" spans="1:7">
      <c r="A20" s="1" t="s">
        <v>4</v>
      </c>
      <c r="B20" s="3">
        <v>102</v>
      </c>
      <c r="C20" s="3">
        <v>546</v>
      </c>
      <c r="D20" s="3">
        <f>B20+C20</f>
        <v>648</v>
      </c>
      <c r="E20" s="3">
        <v>18</v>
      </c>
      <c r="F20" s="3">
        <v>32</v>
      </c>
      <c r="G20" s="19">
        <v>4359954.6022569295</v>
      </c>
    </row>
    <row r="21" spans="1:7">
      <c r="A21" s="1" t="s">
        <v>5</v>
      </c>
      <c r="B21" s="6">
        <v>218</v>
      </c>
      <c r="C21" s="6">
        <v>302</v>
      </c>
      <c r="D21" s="6">
        <f>B21+C21</f>
        <v>520</v>
      </c>
      <c r="E21" s="6">
        <v>1</v>
      </c>
      <c r="F21" s="6">
        <v>65</v>
      </c>
      <c r="G21" s="18">
        <v>5821197.6675719963</v>
      </c>
    </row>
    <row r="22" spans="1:7">
      <c r="A22" s="1" t="s">
        <v>6</v>
      </c>
      <c r="B22" s="3">
        <v>20</v>
      </c>
      <c r="C22" s="3">
        <v>367</v>
      </c>
      <c r="D22" s="3">
        <f>B22+C22</f>
        <v>387</v>
      </c>
      <c r="E22" s="3">
        <v>3</v>
      </c>
      <c r="F22" s="3">
        <v>229</v>
      </c>
      <c r="G22" s="19">
        <v>3732008.8032182138</v>
      </c>
    </row>
    <row r="23" spans="1:7">
      <c r="A23" s="15" t="s">
        <v>7</v>
      </c>
      <c r="B23" s="6">
        <v>213</v>
      </c>
      <c r="C23" s="6">
        <v>203</v>
      </c>
      <c r="D23" s="6">
        <f>B23+C23</f>
        <v>416</v>
      </c>
      <c r="E23" s="6" t="s">
        <v>2</v>
      </c>
      <c r="F23" s="6">
        <v>2</v>
      </c>
      <c r="G23" s="18">
        <v>4720657.1168993581</v>
      </c>
    </row>
    <row r="24" spans="1:7">
      <c r="A24" s="15" t="s">
        <v>3</v>
      </c>
      <c r="B24" s="3">
        <v>4</v>
      </c>
      <c r="C24" s="3">
        <v>56</v>
      </c>
      <c r="D24" s="3">
        <f>B24+C24</f>
        <v>60</v>
      </c>
      <c r="E24" s="3" t="s">
        <v>2</v>
      </c>
      <c r="F24" s="3" t="s">
        <v>2</v>
      </c>
      <c r="G24" s="19">
        <v>1570191.8614228207</v>
      </c>
    </row>
    <row r="25" spans="1:7">
      <c r="A25" s="8" t="s">
        <v>11</v>
      </c>
      <c r="B25" s="11"/>
      <c r="C25" s="11"/>
      <c r="D25" s="12"/>
      <c r="E25" s="11"/>
      <c r="F25" s="11"/>
      <c r="G25" s="17"/>
    </row>
    <row r="26" spans="1:7">
      <c r="A26" s="1" t="s">
        <v>4</v>
      </c>
      <c r="B26" s="3">
        <v>79</v>
      </c>
      <c r="C26" s="3">
        <v>903</v>
      </c>
      <c r="D26" s="3">
        <v>982</v>
      </c>
      <c r="E26" s="3">
        <v>19</v>
      </c>
      <c r="F26" s="3">
        <v>25</v>
      </c>
      <c r="G26" s="19">
        <v>3189131.40496181</v>
      </c>
    </row>
    <row r="27" spans="1:7">
      <c r="A27" s="1" t="s">
        <v>5</v>
      </c>
      <c r="B27" s="6">
        <v>218</v>
      </c>
      <c r="C27" s="6">
        <v>326</v>
      </c>
      <c r="D27" s="6">
        <v>544</v>
      </c>
      <c r="E27" s="6">
        <v>11</v>
      </c>
      <c r="F27" s="6">
        <v>282</v>
      </c>
      <c r="G27" s="18">
        <v>2726714.9468681691</v>
      </c>
    </row>
    <row r="28" spans="1:7">
      <c r="A28" s="1" t="s">
        <v>6</v>
      </c>
      <c r="B28" s="3">
        <v>9</v>
      </c>
      <c r="C28" s="3">
        <v>183</v>
      </c>
      <c r="D28" s="3">
        <v>192</v>
      </c>
      <c r="E28" s="3">
        <v>28</v>
      </c>
      <c r="F28" s="3">
        <v>169</v>
      </c>
      <c r="G28" s="19">
        <v>1539541.3712441002</v>
      </c>
    </row>
    <row r="29" spans="1:7">
      <c r="A29" s="15" t="s">
        <v>7</v>
      </c>
      <c r="B29" s="6">
        <v>85</v>
      </c>
      <c r="C29" s="6">
        <v>236</v>
      </c>
      <c r="D29" s="6">
        <v>321</v>
      </c>
      <c r="E29" s="6">
        <v>5</v>
      </c>
      <c r="F29" s="6">
        <v>9</v>
      </c>
      <c r="G29" s="18">
        <v>3764033.8745809877</v>
      </c>
    </row>
    <row r="30" spans="1:7">
      <c r="A30" s="15" t="s">
        <v>3</v>
      </c>
      <c r="B30" s="3">
        <v>159</v>
      </c>
      <c r="C30" s="3">
        <v>138</v>
      </c>
      <c r="D30" s="3">
        <v>297</v>
      </c>
      <c r="E30" s="3" t="s">
        <v>2</v>
      </c>
      <c r="F30" s="3" t="s">
        <v>2</v>
      </c>
      <c r="G30" s="19">
        <v>1563439.809104959</v>
      </c>
    </row>
    <row r="31" spans="1:7">
      <c r="A31" s="8" t="s">
        <v>14</v>
      </c>
      <c r="B31" s="11"/>
      <c r="C31" s="11"/>
      <c r="D31" s="12"/>
      <c r="E31" s="11"/>
      <c r="F31" s="11"/>
      <c r="G31" s="17"/>
    </row>
    <row r="32" spans="1:7">
      <c r="A32" s="1" t="s">
        <v>4</v>
      </c>
      <c r="B32" s="3">
        <v>44</v>
      </c>
      <c r="C32" s="3">
        <v>821</v>
      </c>
      <c r="D32" s="3">
        <v>865</v>
      </c>
      <c r="E32" s="5">
        <v>28</v>
      </c>
      <c r="F32" s="5">
        <v>191</v>
      </c>
      <c r="G32" s="19">
        <v>5868907.5471659955</v>
      </c>
    </row>
    <row r="33" spans="1:7">
      <c r="A33" s="1" t="s">
        <v>5</v>
      </c>
      <c r="B33" s="6">
        <v>313</v>
      </c>
      <c r="C33" s="6">
        <v>157</v>
      </c>
      <c r="D33" s="6">
        <v>470</v>
      </c>
      <c r="E33" s="5">
        <v>36</v>
      </c>
      <c r="F33" s="5">
        <v>86</v>
      </c>
      <c r="G33" s="18">
        <v>6030678.2674434213</v>
      </c>
    </row>
    <row r="34" spans="1:7">
      <c r="A34" s="1" t="s">
        <v>6</v>
      </c>
      <c r="B34" s="3">
        <v>3</v>
      </c>
      <c r="C34" s="3">
        <v>76</v>
      </c>
      <c r="D34" s="3">
        <v>1168</v>
      </c>
      <c r="E34" s="5">
        <v>2</v>
      </c>
      <c r="F34" s="5">
        <v>102</v>
      </c>
      <c r="G34" s="19">
        <v>4037852.4770671204</v>
      </c>
    </row>
    <row r="35" spans="1:7">
      <c r="A35" s="15" t="s">
        <v>7</v>
      </c>
      <c r="B35" s="6">
        <v>136</v>
      </c>
      <c r="C35" s="6">
        <v>203</v>
      </c>
      <c r="D35" s="6">
        <v>339</v>
      </c>
      <c r="E35" s="5">
        <v>3</v>
      </c>
      <c r="F35" s="5">
        <v>46</v>
      </c>
      <c r="G35" s="18">
        <v>4719779.7464787029</v>
      </c>
    </row>
    <row r="36" spans="1:7">
      <c r="A36" s="15" t="s">
        <v>3</v>
      </c>
      <c r="B36" s="3">
        <v>4</v>
      </c>
      <c r="C36" s="3">
        <v>186</v>
      </c>
      <c r="D36" s="3">
        <v>190</v>
      </c>
      <c r="E36" s="5" t="s">
        <v>2</v>
      </c>
      <c r="F36" s="5" t="s">
        <v>2</v>
      </c>
      <c r="G36" s="19">
        <v>1625470.5571275246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798B-5B8F-43CE-9FC3-5ECA9C4E0A1A}">
  <dimension ref="A1:M7"/>
  <sheetViews>
    <sheetView workbookViewId="0">
      <selection activeCell="I10" sqref="I10"/>
    </sheetView>
  </sheetViews>
  <sheetFormatPr defaultRowHeight="14.4"/>
  <sheetData>
    <row r="1" spans="1:13">
      <c r="A1" s="6"/>
      <c r="B1" s="6" t="s">
        <v>21</v>
      </c>
      <c r="C1" s="6"/>
      <c r="D1" s="6" t="s">
        <v>22</v>
      </c>
      <c r="E1" s="6"/>
      <c r="F1" s="6" t="s">
        <v>23</v>
      </c>
      <c r="G1" s="6"/>
      <c r="H1" s="6" t="s">
        <v>24</v>
      </c>
      <c r="I1" s="6"/>
      <c r="J1" s="6" t="s">
        <v>25</v>
      </c>
      <c r="K1" s="6"/>
      <c r="L1" s="6" t="s">
        <v>26</v>
      </c>
      <c r="M1" s="6"/>
    </row>
    <row r="2" spans="1:13">
      <c r="A2" s="3" t="s">
        <v>27</v>
      </c>
      <c r="B2" s="3">
        <v>2019</v>
      </c>
      <c r="C2" s="3">
        <v>2020</v>
      </c>
      <c r="D2" s="3">
        <v>2019</v>
      </c>
      <c r="E2" s="3">
        <v>2020</v>
      </c>
      <c r="F2" s="3">
        <v>2019</v>
      </c>
      <c r="G2" s="3">
        <v>2020</v>
      </c>
      <c r="H2" s="3">
        <v>2019</v>
      </c>
      <c r="I2" s="3">
        <v>2020</v>
      </c>
      <c r="J2" s="3">
        <v>2019</v>
      </c>
      <c r="K2" s="3">
        <v>2020</v>
      </c>
      <c r="L2" s="3">
        <v>2019</v>
      </c>
      <c r="M2" s="3">
        <v>2020</v>
      </c>
    </row>
    <row r="3" spans="1:13">
      <c r="A3" s="6" t="s">
        <v>28</v>
      </c>
      <c r="B3" s="6">
        <v>13</v>
      </c>
      <c r="C3" s="6">
        <v>15</v>
      </c>
      <c r="D3" s="6">
        <v>13</v>
      </c>
      <c r="E3" s="6">
        <v>16</v>
      </c>
      <c r="F3" s="6">
        <v>44</v>
      </c>
      <c r="G3" s="6">
        <v>40</v>
      </c>
      <c r="H3" s="6">
        <v>15</v>
      </c>
      <c r="I3" s="6">
        <v>22</v>
      </c>
      <c r="J3" s="6">
        <v>43</v>
      </c>
      <c r="K3" s="6">
        <v>42</v>
      </c>
      <c r="L3" s="6">
        <v>36</v>
      </c>
      <c r="M3" s="6">
        <v>36</v>
      </c>
    </row>
    <row r="4" spans="1:13">
      <c r="A4" s="3" t="s">
        <v>29</v>
      </c>
      <c r="B4" s="3">
        <v>20</v>
      </c>
      <c r="C4" s="3">
        <v>16</v>
      </c>
      <c r="D4" s="3">
        <v>36</v>
      </c>
      <c r="E4" s="3">
        <v>36</v>
      </c>
      <c r="F4" s="3">
        <v>12</v>
      </c>
      <c r="G4" s="3">
        <v>16</v>
      </c>
      <c r="H4" s="3">
        <v>40</v>
      </c>
      <c r="I4" s="3">
        <v>40</v>
      </c>
      <c r="J4" s="3">
        <v>12</v>
      </c>
      <c r="K4" s="3">
        <v>18</v>
      </c>
      <c r="L4" s="3">
        <v>35</v>
      </c>
      <c r="M4" s="3">
        <v>36</v>
      </c>
    </row>
    <row r="5" spans="1:13">
      <c r="A5" s="6" t="s">
        <v>30</v>
      </c>
      <c r="B5" s="6">
        <v>18</v>
      </c>
      <c r="C5" s="6">
        <v>18</v>
      </c>
      <c r="D5" s="6">
        <v>38</v>
      </c>
      <c r="E5" s="6">
        <v>40</v>
      </c>
      <c r="F5" s="6">
        <v>23</v>
      </c>
      <c r="G5" s="6">
        <v>24</v>
      </c>
      <c r="H5" s="6">
        <v>39</v>
      </c>
      <c r="I5" s="6">
        <v>40</v>
      </c>
      <c r="J5" s="6">
        <v>11</v>
      </c>
      <c r="K5" s="6">
        <v>20</v>
      </c>
      <c r="L5" s="6">
        <v>29</v>
      </c>
      <c r="M5" s="6">
        <v>30</v>
      </c>
    </row>
    <row r="6" spans="1:13">
      <c r="A6" s="3" t="s">
        <v>31</v>
      </c>
      <c r="B6" s="3">
        <v>28</v>
      </c>
      <c r="C6" s="3">
        <v>20</v>
      </c>
      <c r="D6" s="3">
        <v>26</v>
      </c>
      <c r="E6" s="3">
        <v>28</v>
      </c>
      <c r="F6" s="3">
        <v>33</v>
      </c>
      <c r="G6" s="3">
        <v>26</v>
      </c>
      <c r="H6" s="3">
        <v>40</v>
      </c>
      <c r="I6" s="3">
        <v>38</v>
      </c>
      <c r="J6" s="3">
        <v>22</v>
      </c>
      <c r="K6" s="3">
        <v>20</v>
      </c>
      <c r="L6" s="3">
        <v>49</v>
      </c>
      <c r="M6" s="3">
        <v>50</v>
      </c>
    </row>
    <row r="7" spans="1:13">
      <c r="A7" s="6" t="s">
        <v>32</v>
      </c>
      <c r="B7" s="6">
        <v>27</v>
      </c>
      <c r="C7" s="6">
        <v>19</v>
      </c>
      <c r="D7" s="6">
        <v>25</v>
      </c>
      <c r="E7" s="6">
        <v>27</v>
      </c>
      <c r="F7" s="6">
        <v>32</v>
      </c>
      <c r="G7" s="6">
        <v>25</v>
      </c>
      <c r="H7" s="6">
        <v>39</v>
      </c>
      <c r="I7" s="6">
        <v>37</v>
      </c>
      <c r="J7" s="6">
        <v>21</v>
      </c>
      <c r="K7" s="6">
        <v>19</v>
      </c>
      <c r="L7" s="6">
        <v>48</v>
      </c>
      <c r="M7" s="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EBCC-7428-4BF6-90F2-5C66EBDCB05C}">
  <dimension ref="A1:S26"/>
  <sheetViews>
    <sheetView workbookViewId="0">
      <selection activeCell="G10" sqref="G10"/>
    </sheetView>
  </sheetViews>
  <sheetFormatPr defaultRowHeight="14.4"/>
  <sheetData>
    <row r="1" spans="1:19">
      <c r="A1" s="26" t="s">
        <v>20</v>
      </c>
      <c r="B1" s="27" t="s">
        <v>33</v>
      </c>
      <c r="C1" s="28"/>
      <c r="D1" s="29" t="s">
        <v>34</v>
      </c>
      <c r="E1" s="28"/>
      <c r="F1" s="29" t="s">
        <v>35</v>
      </c>
      <c r="G1" s="28"/>
      <c r="H1" s="29" t="s">
        <v>36</v>
      </c>
      <c r="I1" s="28"/>
      <c r="J1" s="29" t="s">
        <v>37</v>
      </c>
      <c r="K1" s="28"/>
      <c r="L1" s="29" t="s">
        <v>38</v>
      </c>
      <c r="M1" s="28"/>
      <c r="N1" s="29" t="s">
        <v>39</v>
      </c>
      <c r="O1" s="28"/>
      <c r="P1" s="29" t="s">
        <v>40</v>
      </c>
      <c r="Q1" s="28"/>
      <c r="R1" s="29" t="s">
        <v>41</v>
      </c>
      <c r="S1" s="28"/>
    </row>
    <row r="2" spans="1:19">
      <c r="A2" s="30"/>
      <c r="B2" s="30" t="s">
        <v>42</v>
      </c>
      <c r="C2" s="30" t="s">
        <v>43</v>
      </c>
      <c r="D2" s="30" t="s">
        <v>42</v>
      </c>
      <c r="E2" s="30" t="s">
        <v>43</v>
      </c>
      <c r="F2" s="30" t="s">
        <v>42</v>
      </c>
      <c r="G2" s="30" t="s">
        <v>43</v>
      </c>
      <c r="H2" s="30" t="s">
        <v>42</v>
      </c>
      <c r="I2" s="30" t="s">
        <v>43</v>
      </c>
      <c r="J2" s="30" t="s">
        <v>42</v>
      </c>
      <c r="K2" s="30" t="s">
        <v>43</v>
      </c>
      <c r="L2" s="30" t="s">
        <v>42</v>
      </c>
      <c r="M2" s="30" t="s">
        <v>43</v>
      </c>
      <c r="N2" s="30" t="s">
        <v>42</v>
      </c>
      <c r="O2" s="30" t="s">
        <v>43</v>
      </c>
      <c r="P2" s="30" t="s">
        <v>42</v>
      </c>
      <c r="Q2" s="30" t="s">
        <v>43</v>
      </c>
      <c r="R2" s="30" t="s">
        <v>42</v>
      </c>
      <c r="S2" s="30" t="s">
        <v>43</v>
      </c>
    </row>
    <row r="3" spans="1:19">
      <c r="A3" s="31">
        <v>44197</v>
      </c>
      <c r="B3" s="30">
        <v>50000</v>
      </c>
      <c r="C3" s="30">
        <v>42000</v>
      </c>
      <c r="D3" s="30">
        <v>60000</v>
      </c>
      <c r="E3" s="30">
        <v>45000</v>
      </c>
      <c r="F3" s="30">
        <v>50000</v>
      </c>
      <c r="G3" s="30">
        <v>42000</v>
      </c>
      <c r="H3" s="30">
        <v>60000</v>
      </c>
      <c r="I3" s="30">
        <v>45000</v>
      </c>
      <c r="J3" s="30">
        <v>50000</v>
      </c>
      <c r="K3" s="30">
        <v>42000</v>
      </c>
      <c r="L3" s="30">
        <v>60000</v>
      </c>
      <c r="M3" s="30">
        <v>45000</v>
      </c>
      <c r="N3" s="30">
        <v>50000</v>
      </c>
      <c r="O3" s="30">
        <v>42000</v>
      </c>
      <c r="P3" s="30">
        <v>60000</v>
      </c>
      <c r="Q3" s="30">
        <v>45000</v>
      </c>
      <c r="R3" s="30">
        <v>50000</v>
      </c>
      <c r="S3" s="30">
        <v>42000</v>
      </c>
    </row>
    <row r="4" spans="1:19">
      <c r="A4" s="31">
        <v>44228</v>
      </c>
      <c r="B4" s="30">
        <v>75000</v>
      </c>
      <c r="C4" s="30">
        <v>80000</v>
      </c>
      <c r="D4" s="30">
        <v>70000</v>
      </c>
      <c r="E4" s="30">
        <v>65000</v>
      </c>
      <c r="F4" s="30">
        <v>75000</v>
      </c>
      <c r="G4" s="30">
        <v>80000</v>
      </c>
      <c r="H4" s="30">
        <v>70000</v>
      </c>
      <c r="I4" s="30">
        <v>65000</v>
      </c>
      <c r="J4" s="30">
        <v>75000</v>
      </c>
      <c r="K4" s="30">
        <v>80000</v>
      </c>
      <c r="L4" s="30">
        <v>70000</v>
      </c>
      <c r="M4" s="30">
        <v>65000</v>
      </c>
      <c r="N4" s="30">
        <v>75000</v>
      </c>
      <c r="O4" s="30">
        <v>80000</v>
      </c>
      <c r="P4" s="30">
        <v>70000</v>
      </c>
      <c r="Q4" s="30">
        <v>65000</v>
      </c>
      <c r="R4" s="30">
        <v>75000</v>
      </c>
      <c r="S4" s="30">
        <v>80000</v>
      </c>
    </row>
    <row r="5" spans="1:19">
      <c r="A5" s="31">
        <v>44256</v>
      </c>
      <c r="B5" s="30">
        <v>100000</v>
      </c>
      <c r="C5" s="30">
        <v>98000</v>
      </c>
      <c r="D5" s="30">
        <v>80000</v>
      </c>
      <c r="E5" s="30">
        <v>85000</v>
      </c>
      <c r="F5" s="30">
        <v>100000</v>
      </c>
      <c r="G5" s="30">
        <v>98000</v>
      </c>
      <c r="H5" s="30">
        <v>80000</v>
      </c>
      <c r="I5" s="30">
        <v>85000</v>
      </c>
      <c r="J5" s="30">
        <v>100000</v>
      </c>
      <c r="K5" s="30">
        <v>98000</v>
      </c>
      <c r="L5" s="30">
        <v>80000</v>
      </c>
      <c r="M5" s="30">
        <v>85000</v>
      </c>
      <c r="N5" s="30">
        <v>100000</v>
      </c>
      <c r="O5" s="30">
        <v>98000</v>
      </c>
      <c r="P5" s="30">
        <v>80000</v>
      </c>
      <c r="Q5" s="30">
        <v>85000</v>
      </c>
      <c r="R5" s="30">
        <v>100000</v>
      </c>
      <c r="S5" s="30">
        <v>98000</v>
      </c>
    </row>
    <row r="6" spans="1:19">
      <c r="A6" s="31">
        <v>44287</v>
      </c>
      <c r="B6" s="30">
        <v>125000</v>
      </c>
      <c r="C6" s="30">
        <v>116000</v>
      </c>
      <c r="D6" s="30">
        <v>90000</v>
      </c>
      <c r="E6" s="30">
        <v>105000</v>
      </c>
      <c r="F6" s="30">
        <v>125000</v>
      </c>
      <c r="G6" s="30">
        <v>116000</v>
      </c>
      <c r="H6" s="30">
        <v>90000</v>
      </c>
      <c r="I6" s="30">
        <v>105000</v>
      </c>
      <c r="J6" s="30">
        <v>125000</v>
      </c>
      <c r="K6" s="30">
        <v>116000</v>
      </c>
      <c r="L6" s="30">
        <v>90000</v>
      </c>
      <c r="M6" s="30">
        <v>105000</v>
      </c>
      <c r="N6" s="30">
        <v>125000</v>
      </c>
      <c r="O6" s="30">
        <v>116000</v>
      </c>
      <c r="P6" s="30">
        <v>90000</v>
      </c>
      <c r="Q6" s="30">
        <v>105000</v>
      </c>
      <c r="R6" s="30">
        <v>125000</v>
      </c>
      <c r="S6" s="30">
        <v>116000</v>
      </c>
    </row>
    <row r="7" spans="1:19">
      <c r="A7" s="31">
        <v>44317</v>
      </c>
      <c r="B7" s="30">
        <v>150000</v>
      </c>
      <c r="C7" s="30">
        <v>134000</v>
      </c>
      <c r="D7" s="30">
        <v>100000</v>
      </c>
      <c r="E7" s="30">
        <v>125000</v>
      </c>
      <c r="F7" s="30">
        <v>150000</v>
      </c>
      <c r="G7" s="30">
        <v>134000</v>
      </c>
      <c r="H7" s="30">
        <v>100000</v>
      </c>
      <c r="I7" s="30">
        <v>125000</v>
      </c>
      <c r="J7" s="30">
        <v>150000</v>
      </c>
      <c r="K7" s="30">
        <v>134000</v>
      </c>
      <c r="L7" s="30">
        <v>100000</v>
      </c>
      <c r="M7" s="30">
        <v>125000</v>
      </c>
      <c r="N7" s="30">
        <v>150000</v>
      </c>
      <c r="O7" s="30">
        <v>134000</v>
      </c>
      <c r="P7" s="30">
        <v>100000</v>
      </c>
      <c r="Q7" s="30">
        <v>125000</v>
      </c>
      <c r="R7" s="30">
        <v>150000</v>
      </c>
      <c r="S7" s="30">
        <v>134000</v>
      </c>
    </row>
    <row r="8" spans="1:19">
      <c r="A8" s="31">
        <v>44348</v>
      </c>
      <c r="B8" s="30">
        <v>175000</v>
      </c>
      <c r="C8" s="30">
        <v>152000</v>
      </c>
      <c r="D8" s="30">
        <v>110000</v>
      </c>
      <c r="E8" s="30">
        <v>145000</v>
      </c>
      <c r="F8" s="30">
        <v>175000</v>
      </c>
      <c r="G8" s="30">
        <v>152000</v>
      </c>
      <c r="H8" s="30">
        <v>110000</v>
      </c>
      <c r="I8" s="30">
        <v>145000</v>
      </c>
      <c r="J8" s="30">
        <v>175000</v>
      </c>
      <c r="K8" s="30">
        <v>152000</v>
      </c>
      <c r="L8" s="30">
        <v>110000</v>
      </c>
      <c r="M8" s="30">
        <v>145000</v>
      </c>
      <c r="N8" s="30">
        <v>175000</v>
      </c>
      <c r="O8" s="30">
        <v>152000</v>
      </c>
      <c r="P8" s="30">
        <v>110000</v>
      </c>
      <c r="Q8" s="30">
        <v>145000</v>
      </c>
      <c r="R8" s="30">
        <v>175000</v>
      </c>
      <c r="S8" s="30">
        <v>152000</v>
      </c>
    </row>
    <row r="9" spans="1:19">
      <c r="A9" s="31">
        <v>44378</v>
      </c>
      <c r="B9" s="30">
        <v>200000</v>
      </c>
      <c r="C9" s="30">
        <v>170000</v>
      </c>
      <c r="D9" s="30">
        <v>120000</v>
      </c>
      <c r="E9" s="30">
        <v>165000</v>
      </c>
      <c r="F9" s="30">
        <v>200000</v>
      </c>
      <c r="G9" s="30">
        <v>170000</v>
      </c>
      <c r="H9" s="30">
        <v>120000</v>
      </c>
      <c r="I9" s="30">
        <v>165000</v>
      </c>
      <c r="J9" s="30">
        <v>200000</v>
      </c>
      <c r="K9" s="30">
        <v>170000</v>
      </c>
      <c r="L9" s="30">
        <v>120000</v>
      </c>
      <c r="M9" s="30">
        <v>165000</v>
      </c>
      <c r="N9" s="30">
        <v>200000</v>
      </c>
      <c r="O9" s="30">
        <v>170000</v>
      </c>
      <c r="P9" s="30">
        <v>120000</v>
      </c>
      <c r="Q9" s="30">
        <v>165000</v>
      </c>
      <c r="R9" s="30">
        <v>200000</v>
      </c>
      <c r="S9" s="30">
        <v>170000</v>
      </c>
    </row>
    <row r="10" spans="1:19">
      <c r="A10" s="31">
        <v>44409</v>
      </c>
      <c r="B10" s="30">
        <v>225000</v>
      </c>
      <c r="C10" s="30">
        <v>188000</v>
      </c>
      <c r="D10" s="30">
        <v>130000</v>
      </c>
      <c r="E10" s="30">
        <v>185000</v>
      </c>
      <c r="F10" s="30">
        <v>225000</v>
      </c>
      <c r="G10" s="30">
        <v>188000</v>
      </c>
      <c r="H10" s="30">
        <v>130000</v>
      </c>
      <c r="I10" s="30">
        <v>185000</v>
      </c>
      <c r="J10" s="30">
        <v>225000</v>
      </c>
      <c r="K10" s="30">
        <v>188000</v>
      </c>
      <c r="L10" s="30">
        <v>130000</v>
      </c>
      <c r="M10" s="30">
        <v>185000</v>
      </c>
      <c r="N10" s="30">
        <v>225000</v>
      </c>
      <c r="O10" s="30">
        <v>188000</v>
      </c>
      <c r="P10" s="30">
        <v>130000</v>
      </c>
      <c r="Q10" s="30">
        <v>185000</v>
      </c>
      <c r="R10" s="30">
        <v>225000</v>
      </c>
      <c r="S10" s="30">
        <v>188000</v>
      </c>
    </row>
    <row r="11" spans="1:19">
      <c r="A11" s="31">
        <v>44440</v>
      </c>
      <c r="B11" s="30">
        <v>250000</v>
      </c>
      <c r="C11" s="30">
        <v>206000</v>
      </c>
      <c r="D11" s="30">
        <v>140000</v>
      </c>
      <c r="E11" s="30">
        <v>205000</v>
      </c>
      <c r="F11" s="30">
        <v>250000</v>
      </c>
      <c r="G11" s="30">
        <v>206000</v>
      </c>
      <c r="H11" s="30">
        <v>140000</v>
      </c>
      <c r="I11" s="30">
        <v>205000</v>
      </c>
      <c r="J11" s="30">
        <v>250000</v>
      </c>
      <c r="K11" s="30">
        <v>206000</v>
      </c>
      <c r="L11" s="30">
        <v>140000</v>
      </c>
      <c r="M11" s="30">
        <v>205000</v>
      </c>
      <c r="N11" s="30">
        <v>250000</v>
      </c>
      <c r="O11" s="30">
        <v>206000</v>
      </c>
      <c r="P11" s="30">
        <v>140000</v>
      </c>
      <c r="Q11" s="30">
        <v>205000</v>
      </c>
      <c r="R11" s="30">
        <v>250000</v>
      </c>
      <c r="S11" s="30">
        <v>206000</v>
      </c>
    </row>
    <row r="12" spans="1:19">
      <c r="A12" s="31">
        <v>44470</v>
      </c>
      <c r="B12" s="30">
        <v>275000</v>
      </c>
      <c r="C12" s="30">
        <v>224000</v>
      </c>
      <c r="D12" s="30">
        <v>150000</v>
      </c>
      <c r="E12" s="30">
        <v>225000</v>
      </c>
      <c r="F12" s="30">
        <v>275000</v>
      </c>
      <c r="G12" s="30">
        <v>224000</v>
      </c>
      <c r="H12" s="30">
        <v>150000</v>
      </c>
      <c r="I12" s="30">
        <v>225000</v>
      </c>
      <c r="J12" s="30">
        <v>275000</v>
      </c>
      <c r="K12" s="30">
        <v>224000</v>
      </c>
      <c r="L12" s="30">
        <v>150000</v>
      </c>
      <c r="M12" s="30">
        <v>225000</v>
      </c>
      <c r="N12" s="30">
        <v>275000</v>
      </c>
      <c r="O12" s="30">
        <v>224000</v>
      </c>
      <c r="P12" s="30">
        <v>150000</v>
      </c>
      <c r="Q12" s="30">
        <v>225000</v>
      </c>
      <c r="R12" s="30">
        <v>275000</v>
      </c>
      <c r="S12" s="30">
        <v>224000</v>
      </c>
    </row>
    <row r="13" spans="1:19">
      <c r="A13" s="31">
        <v>44501</v>
      </c>
      <c r="B13" s="30">
        <v>300000</v>
      </c>
      <c r="C13" s="30">
        <v>242000</v>
      </c>
      <c r="D13" s="30">
        <v>160000</v>
      </c>
      <c r="E13" s="30">
        <v>245000</v>
      </c>
      <c r="F13" s="30">
        <v>300000</v>
      </c>
      <c r="G13" s="30">
        <v>242000</v>
      </c>
      <c r="H13" s="30">
        <v>160000</v>
      </c>
      <c r="I13" s="30">
        <v>245000</v>
      </c>
      <c r="J13" s="30">
        <v>300000</v>
      </c>
      <c r="K13" s="30">
        <v>242000</v>
      </c>
      <c r="L13" s="30">
        <v>160000</v>
      </c>
      <c r="M13" s="30">
        <v>245000</v>
      </c>
      <c r="N13" s="30">
        <v>300000</v>
      </c>
      <c r="O13" s="30">
        <v>242000</v>
      </c>
      <c r="P13" s="30">
        <v>160000</v>
      </c>
      <c r="Q13" s="30">
        <v>245000</v>
      </c>
      <c r="R13" s="30">
        <v>300000</v>
      </c>
      <c r="S13" s="30">
        <v>242000</v>
      </c>
    </row>
    <row r="14" spans="1:19">
      <c r="A14" s="31">
        <v>44531</v>
      </c>
      <c r="B14" s="30">
        <v>325000</v>
      </c>
      <c r="C14" s="30">
        <v>260000</v>
      </c>
      <c r="D14" s="30">
        <v>170000</v>
      </c>
      <c r="E14" s="30">
        <v>265000</v>
      </c>
      <c r="F14" s="30">
        <v>325000</v>
      </c>
      <c r="G14" s="30">
        <v>260000</v>
      </c>
      <c r="H14" s="30">
        <v>170000</v>
      </c>
      <c r="I14" s="30">
        <v>265000</v>
      </c>
      <c r="J14" s="30">
        <v>325000</v>
      </c>
      <c r="K14" s="30">
        <v>260000</v>
      </c>
      <c r="L14" s="30">
        <v>170000</v>
      </c>
      <c r="M14" s="30">
        <v>265000</v>
      </c>
      <c r="N14" s="30">
        <v>325000</v>
      </c>
      <c r="O14" s="30">
        <v>260000</v>
      </c>
      <c r="P14" s="30">
        <v>170000</v>
      </c>
      <c r="Q14" s="30">
        <v>265000</v>
      </c>
      <c r="R14" s="30">
        <v>325000</v>
      </c>
      <c r="S14" s="30">
        <v>260000</v>
      </c>
    </row>
    <row r="15" spans="1:19">
      <c r="A15" s="31">
        <v>44562</v>
      </c>
      <c r="B15" s="30">
        <v>350000</v>
      </c>
      <c r="C15" s="30">
        <v>278000</v>
      </c>
      <c r="D15" s="30">
        <v>180000</v>
      </c>
      <c r="E15" s="30">
        <v>285000</v>
      </c>
      <c r="F15" s="30">
        <v>350000</v>
      </c>
      <c r="G15" s="30">
        <v>278000</v>
      </c>
      <c r="H15" s="30">
        <v>180000</v>
      </c>
      <c r="I15" s="30">
        <v>285000</v>
      </c>
      <c r="J15" s="30">
        <v>350000</v>
      </c>
      <c r="K15" s="30">
        <v>278000</v>
      </c>
      <c r="L15" s="30">
        <v>180000</v>
      </c>
      <c r="M15" s="30">
        <v>285000</v>
      </c>
      <c r="N15" s="30">
        <v>350000</v>
      </c>
      <c r="O15" s="30">
        <v>278000</v>
      </c>
      <c r="P15" s="30">
        <v>180000</v>
      </c>
      <c r="Q15" s="30">
        <v>285000</v>
      </c>
      <c r="R15" s="30">
        <v>350000</v>
      </c>
      <c r="S15" s="30">
        <v>278000</v>
      </c>
    </row>
    <row r="16" spans="1:19">
      <c r="A16" s="31">
        <v>44593</v>
      </c>
      <c r="B16" s="30">
        <v>375000</v>
      </c>
      <c r="C16" s="30">
        <v>296000</v>
      </c>
      <c r="D16" s="30">
        <v>190000</v>
      </c>
      <c r="E16" s="30">
        <v>305000</v>
      </c>
      <c r="F16" s="30">
        <v>375000</v>
      </c>
      <c r="G16" s="30">
        <v>296000</v>
      </c>
      <c r="H16" s="30">
        <v>190000</v>
      </c>
      <c r="I16" s="30">
        <v>305000</v>
      </c>
      <c r="J16" s="30">
        <v>375000</v>
      </c>
      <c r="K16" s="30">
        <v>296000</v>
      </c>
      <c r="L16" s="30">
        <v>190000</v>
      </c>
      <c r="M16" s="30">
        <v>305000</v>
      </c>
      <c r="N16" s="30">
        <v>375000</v>
      </c>
      <c r="O16" s="30">
        <v>296000</v>
      </c>
      <c r="P16" s="30">
        <v>190000</v>
      </c>
      <c r="Q16" s="30">
        <v>305000</v>
      </c>
      <c r="R16" s="30">
        <v>375000</v>
      </c>
      <c r="S16" s="30">
        <v>296000</v>
      </c>
    </row>
    <row r="17" spans="1:19">
      <c r="A17" s="31">
        <v>44621</v>
      </c>
      <c r="B17" s="30">
        <v>400000</v>
      </c>
      <c r="C17" s="30">
        <v>314000</v>
      </c>
      <c r="D17" s="30">
        <v>200000</v>
      </c>
      <c r="E17" s="30">
        <v>325000</v>
      </c>
      <c r="F17" s="30">
        <v>400000</v>
      </c>
      <c r="G17" s="30">
        <v>314000</v>
      </c>
      <c r="H17" s="30">
        <v>200000</v>
      </c>
      <c r="I17" s="30">
        <v>325000</v>
      </c>
      <c r="J17" s="30">
        <v>400000</v>
      </c>
      <c r="K17" s="30">
        <v>314000</v>
      </c>
      <c r="L17" s="30">
        <v>200000</v>
      </c>
      <c r="M17" s="30">
        <v>325000</v>
      </c>
      <c r="N17" s="30">
        <v>400000</v>
      </c>
      <c r="O17" s="30">
        <v>314000</v>
      </c>
      <c r="P17" s="30">
        <v>200000</v>
      </c>
      <c r="Q17" s="30">
        <v>325000</v>
      </c>
      <c r="R17" s="30">
        <v>400000</v>
      </c>
      <c r="S17" s="30">
        <v>314000</v>
      </c>
    </row>
    <row r="18" spans="1:19">
      <c r="A18" s="31">
        <v>44652</v>
      </c>
      <c r="B18" s="30">
        <v>425000</v>
      </c>
      <c r="C18" s="30">
        <v>332000</v>
      </c>
      <c r="D18" s="30">
        <v>210000</v>
      </c>
      <c r="E18" s="30">
        <v>345000</v>
      </c>
      <c r="F18" s="30">
        <v>425000</v>
      </c>
      <c r="G18" s="30">
        <v>332000</v>
      </c>
      <c r="H18" s="30">
        <v>210000</v>
      </c>
      <c r="I18" s="30">
        <v>345000</v>
      </c>
      <c r="J18" s="30">
        <v>425000</v>
      </c>
      <c r="K18" s="30">
        <v>332000</v>
      </c>
      <c r="L18" s="30">
        <v>210000</v>
      </c>
      <c r="M18" s="30">
        <v>345000</v>
      </c>
      <c r="N18" s="30">
        <v>425000</v>
      </c>
      <c r="O18" s="30">
        <v>332000</v>
      </c>
      <c r="P18" s="30">
        <v>210000</v>
      </c>
      <c r="Q18" s="30">
        <v>345000</v>
      </c>
      <c r="R18" s="30">
        <v>425000</v>
      </c>
      <c r="S18" s="30">
        <v>332000</v>
      </c>
    </row>
    <row r="19" spans="1:19">
      <c r="A19" s="31">
        <v>44682</v>
      </c>
      <c r="B19" s="30">
        <v>450000</v>
      </c>
      <c r="C19" s="30">
        <v>350000</v>
      </c>
      <c r="D19" s="30">
        <v>220000</v>
      </c>
      <c r="E19" s="30">
        <v>365000</v>
      </c>
      <c r="F19" s="30">
        <v>450000</v>
      </c>
      <c r="G19" s="30">
        <v>350000</v>
      </c>
      <c r="H19" s="30">
        <v>220000</v>
      </c>
      <c r="I19" s="30">
        <v>365000</v>
      </c>
      <c r="J19" s="30">
        <v>450000</v>
      </c>
      <c r="K19" s="30">
        <v>350000</v>
      </c>
      <c r="L19" s="30">
        <v>220000</v>
      </c>
      <c r="M19" s="30">
        <v>365000</v>
      </c>
      <c r="N19" s="30">
        <v>450000</v>
      </c>
      <c r="O19" s="30">
        <v>350000</v>
      </c>
      <c r="P19" s="30">
        <v>220000</v>
      </c>
      <c r="Q19" s="30">
        <v>365000</v>
      </c>
      <c r="R19" s="30">
        <v>450000</v>
      </c>
      <c r="S19" s="30">
        <v>350000</v>
      </c>
    </row>
    <row r="20" spans="1:19">
      <c r="A20" s="31">
        <v>44713</v>
      </c>
      <c r="B20" s="30">
        <v>475000</v>
      </c>
      <c r="C20" s="30">
        <v>368000</v>
      </c>
      <c r="D20" s="30">
        <v>230000</v>
      </c>
      <c r="E20" s="30">
        <v>385000</v>
      </c>
      <c r="F20" s="30">
        <v>475000</v>
      </c>
      <c r="G20" s="30">
        <v>368000</v>
      </c>
      <c r="H20" s="30">
        <v>230000</v>
      </c>
      <c r="I20" s="30">
        <v>385000</v>
      </c>
      <c r="J20" s="30">
        <v>475000</v>
      </c>
      <c r="K20" s="30">
        <v>368000</v>
      </c>
      <c r="L20" s="30">
        <v>230000</v>
      </c>
      <c r="M20" s="30">
        <v>385000</v>
      </c>
      <c r="N20" s="30">
        <v>475000</v>
      </c>
      <c r="O20" s="30">
        <v>368000</v>
      </c>
      <c r="P20" s="30">
        <v>230000</v>
      </c>
      <c r="Q20" s="30">
        <v>385000</v>
      </c>
      <c r="R20" s="30">
        <v>475000</v>
      </c>
      <c r="S20" s="30">
        <v>368000</v>
      </c>
    </row>
    <row r="21" spans="1:19">
      <c r="A21" s="31">
        <v>44743</v>
      </c>
      <c r="B21" s="30">
        <v>500000</v>
      </c>
      <c r="C21" s="30">
        <v>386000</v>
      </c>
      <c r="D21" s="30">
        <v>240000</v>
      </c>
      <c r="E21" s="30">
        <v>405000</v>
      </c>
      <c r="F21" s="30">
        <v>500000</v>
      </c>
      <c r="G21" s="30">
        <v>386000</v>
      </c>
      <c r="H21" s="30">
        <v>240000</v>
      </c>
      <c r="I21" s="30">
        <v>405000</v>
      </c>
      <c r="J21" s="30">
        <v>500000</v>
      </c>
      <c r="K21" s="30">
        <v>386000</v>
      </c>
      <c r="L21" s="30">
        <v>240000</v>
      </c>
      <c r="M21" s="30">
        <v>405000</v>
      </c>
      <c r="N21" s="30">
        <v>500000</v>
      </c>
      <c r="O21" s="30">
        <v>386000</v>
      </c>
      <c r="P21" s="30">
        <v>240000</v>
      </c>
      <c r="Q21" s="30">
        <v>405000</v>
      </c>
      <c r="R21" s="30">
        <v>500000</v>
      </c>
      <c r="S21" s="30">
        <v>386000</v>
      </c>
    </row>
    <row r="22" spans="1:19">
      <c r="A22" s="31">
        <v>44774</v>
      </c>
      <c r="B22" s="30">
        <v>525000</v>
      </c>
      <c r="C22" s="30">
        <v>404000</v>
      </c>
      <c r="D22" s="30">
        <v>250000</v>
      </c>
      <c r="E22" s="30">
        <v>425000</v>
      </c>
      <c r="F22" s="30">
        <v>525000</v>
      </c>
      <c r="G22" s="30">
        <v>404000</v>
      </c>
      <c r="H22" s="30">
        <v>250000</v>
      </c>
      <c r="I22" s="30">
        <v>425000</v>
      </c>
      <c r="J22" s="30">
        <v>525000</v>
      </c>
      <c r="K22" s="30">
        <v>404000</v>
      </c>
      <c r="L22" s="30">
        <v>250000</v>
      </c>
      <c r="M22" s="30">
        <v>425000</v>
      </c>
      <c r="N22" s="30">
        <v>525000</v>
      </c>
      <c r="O22" s="30">
        <v>404000</v>
      </c>
      <c r="P22" s="30">
        <v>250000</v>
      </c>
      <c r="Q22" s="30">
        <v>425000</v>
      </c>
      <c r="R22" s="30">
        <v>525000</v>
      </c>
      <c r="S22" s="30">
        <v>404000</v>
      </c>
    </row>
    <row r="23" spans="1:19">
      <c r="A23" s="31">
        <v>44805</v>
      </c>
      <c r="B23" s="30">
        <v>550000</v>
      </c>
      <c r="C23" s="30">
        <v>422000</v>
      </c>
      <c r="D23" s="30">
        <v>260000</v>
      </c>
      <c r="E23" s="30">
        <v>445000</v>
      </c>
      <c r="F23" s="30">
        <v>550000</v>
      </c>
      <c r="G23" s="30">
        <v>422000</v>
      </c>
      <c r="H23" s="30">
        <v>260000</v>
      </c>
      <c r="I23" s="30">
        <v>445000</v>
      </c>
      <c r="J23" s="30">
        <v>550000</v>
      </c>
      <c r="K23" s="30">
        <v>422000</v>
      </c>
      <c r="L23" s="30">
        <v>260000</v>
      </c>
      <c r="M23" s="30">
        <v>445000</v>
      </c>
      <c r="N23" s="30">
        <v>550000</v>
      </c>
      <c r="O23" s="30">
        <v>422000</v>
      </c>
      <c r="P23" s="30">
        <v>260000</v>
      </c>
      <c r="Q23" s="30">
        <v>445000</v>
      </c>
      <c r="R23" s="30">
        <v>550000</v>
      </c>
      <c r="S23" s="30">
        <v>422000</v>
      </c>
    </row>
    <row r="24" spans="1:19">
      <c r="A24" s="31">
        <v>44835</v>
      </c>
      <c r="B24" s="30">
        <v>575000</v>
      </c>
      <c r="C24" s="30">
        <v>440000</v>
      </c>
      <c r="D24" s="30">
        <v>270000</v>
      </c>
      <c r="E24" s="30">
        <v>465000</v>
      </c>
      <c r="F24" s="30">
        <v>575000</v>
      </c>
      <c r="G24" s="30">
        <v>440000</v>
      </c>
      <c r="H24" s="30">
        <v>270000</v>
      </c>
      <c r="I24" s="30">
        <v>465000</v>
      </c>
      <c r="J24" s="30">
        <v>575000</v>
      </c>
      <c r="K24" s="30">
        <v>440000</v>
      </c>
      <c r="L24" s="30">
        <v>270000</v>
      </c>
      <c r="M24" s="30">
        <v>465000</v>
      </c>
      <c r="N24" s="30">
        <v>575000</v>
      </c>
      <c r="O24" s="30">
        <v>440000</v>
      </c>
      <c r="P24" s="30">
        <v>270000</v>
      </c>
      <c r="Q24" s="30">
        <v>465000</v>
      </c>
      <c r="R24" s="30">
        <v>575000</v>
      </c>
      <c r="S24" s="30">
        <v>440000</v>
      </c>
    </row>
    <row r="25" spans="1:19">
      <c r="A25" s="31">
        <v>44866</v>
      </c>
      <c r="B25" s="30">
        <v>600000</v>
      </c>
      <c r="C25" s="30">
        <v>458000</v>
      </c>
      <c r="D25" s="30">
        <v>280000</v>
      </c>
      <c r="E25" s="30">
        <v>485000</v>
      </c>
      <c r="F25" s="30">
        <v>600000</v>
      </c>
      <c r="G25" s="30">
        <v>458000</v>
      </c>
      <c r="H25" s="30">
        <v>280000</v>
      </c>
      <c r="I25" s="30">
        <v>485000</v>
      </c>
      <c r="J25" s="30">
        <v>600000</v>
      </c>
      <c r="K25" s="30">
        <v>458000</v>
      </c>
      <c r="L25" s="30">
        <v>280000</v>
      </c>
      <c r="M25" s="30">
        <v>485000</v>
      </c>
      <c r="N25" s="30">
        <v>600000</v>
      </c>
      <c r="O25" s="30">
        <v>458000</v>
      </c>
      <c r="P25" s="30">
        <v>280000</v>
      </c>
      <c r="Q25" s="30">
        <v>485000</v>
      </c>
      <c r="R25" s="30">
        <v>600000</v>
      </c>
      <c r="S25" s="30">
        <v>458000</v>
      </c>
    </row>
    <row r="26" spans="1:19">
      <c r="A26" s="31">
        <v>44896</v>
      </c>
      <c r="B26" s="30">
        <v>625000</v>
      </c>
      <c r="C26" s="30">
        <v>476000</v>
      </c>
      <c r="D26" s="30">
        <v>290000</v>
      </c>
      <c r="E26" s="30">
        <v>505000</v>
      </c>
      <c r="F26" s="30">
        <v>625000</v>
      </c>
      <c r="G26" s="30">
        <v>476000</v>
      </c>
      <c r="H26" s="30">
        <v>290000</v>
      </c>
      <c r="I26" s="30">
        <v>505000</v>
      </c>
      <c r="J26" s="30">
        <v>625000</v>
      </c>
      <c r="K26" s="30">
        <v>476000</v>
      </c>
      <c r="L26" s="30">
        <v>290000</v>
      </c>
      <c r="M26" s="30">
        <v>505000</v>
      </c>
      <c r="N26" s="30">
        <v>625000</v>
      </c>
      <c r="O26" s="30">
        <v>476000</v>
      </c>
      <c r="P26" s="30">
        <v>290000</v>
      </c>
      <c r="Q26" s="30">
        <v>505000</v>
      </c>
      <c r="R26" s="30">
        <v>625000</v>
      </c>
      <c r="S26" s="30">
        <v>476000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DE42-192C-4F7E-A0A2-8577A106EC4D}">
  <dimension ref="A1:H129"/>
  <sheetViews>
    <sheetView workbookViewId="0">
      <selection activeCell="E7" sqref="E7"/>
    </sheetView>
  </sheetViews>
  <sheetFormatPr defaultRowHeight="14.4"/>
  <cols>
    <col min="1" max="1" width="22" bestFit="1" customWidth="1"/>
    <col min="2" max="2" width="27.88671875" bestFit="1" customWidth="1"/>
    <col min="3" max="4" width="11.5546875" bestFit="1" customWidth="1"/>
    <col min="5" max="5" width="9.88671875" bestFit="1" customWidth="1"/>
    <col min="6" max="7" width="11.5546875" bestFit="1" customWidth="1"/>
    <col min="8" max="8" width="9.88671875" bestFit="1" customWidth="1"/>
  </cols>
  <sheetData>
    <row r="1" spans="1:8" ht="16.2" thickBot="1">
      <c r="C1" s="32" t="s">
        <v>44</v>
      </c>
      <c r="D1" s="32"/>
      <c r="E1" s="32"/>
      <c r="F1" s="33" t="s">
        <v>45</v>
      </c>
      <c r="G1" s="33"/>
      <c r="H1" s="33"/>
    </row>
    <row r="2" spans="1:8" ht="16.2" thickTop="1">
      <c r="A2" s="34" t="s">
        <v>46</v>
      </c>
      <c r="B2" s="34" t="s">
        <v>47</v>
      </c>
      <c r="C2" s="35">
        <v>43831</v>
      </c>
      <c r="D2" s="35">
        <v>43862</v>
      </c>
      <c r="E2" s="35">
        <v>43891</v>
      </c>
      <c r="F2" s="35">
        <v>43831</v>
      </c>
      <c r="G2" s="35">
        <v>43862</v>
      </c>
      <c r="H2" s="35">
        <v>43891</v>
      </c>
    </row>
    <row r="3" spans="1:8">
      <c r="A3" t="s">
        <v>48</v>
      </c>
      <c r="B3" t="s">
        <v>49</v>
      </c>
      <c r="C3" s="36">
        <v>23700.400000000001</v>
      </c>
      <c r="D3" s="36">
        <v>55801.240000000005</v>
      </c>
      <c r="E3" s="36">
        <v>14160.02</v>
      </c>
      <c r="F3" s="36">
        <v>22414.240000000002</v>
      </c>
      <c r="G3" s="36">
        <v>62981.14</v>
      </c>
      <c r="H3" s="36">
        <v>13681.65</v>
      </c>
    </row>
    <row r="4" spans="1:8">
      <c r="B4" t="s">
        <v>50</v>
      </c>
      <c r="C4" s="36">
        <v>60721.200000000004</v>
      </c>
      <c r="D4" s="36"/>
      <c r="E4" s="36">
        <v>25440.35</v>
      </c>
      <c r="F4" s="36">
        <v>70100.55</v>
      </c>
      <c r="G4" s="36" t="s">
        <v>51</v>
      </c>
      <c r="H4" s="36">
        <v>21438.38</v>
      </c>
    </row>
    <row r="5" spans="1:8">
      <c r="B5" t="s">
        <v>52</v>
      </c>
      <c r="C5" s="36">
        <v>10425.1</v>
      </c>
      <c r="D5" s="36"/>
      <c r="E5" s="36">
        <v>13000.509999999998</v>
      </c>
      <c r="F5" s="36">
        <v>9600.5400000000009</v>
      </c>
      <c r="G5" s="36" t="s">
        <v>51</v>
      </c>
      <c r="H5" s="36">
        <v>13916.44</v>
      </c>
    </row>
    <row r="6" spans="1:8">
      <c r="B6" t="s">
        <v>53</v>
      </c>
      <c r="C6" s="36">
        <v>17500.46</v>
      </c>
      <c r="D6" s="36">
        <v>25676.25</v>
      </c>
      <c r="E6" s="36">
        <v>4300.3999999999996</v>
      </c>
      <c r="F6" s="36">
        <v>17516.560000000001</v>
      </c>
      <c r="G6" s="36">
        <v>29317.53</v>
      </c>
      <c r="H6" s="36">
        <v>4038.06</v>
      </c>
    </row>
    <row r="7" spans="1:8">
      <c r="B7" t="s">
        <v>54</v>
      </c>
      <c r="C7" s="36">
        <v>4775.1899999999996</v>
      </c>
      <c r="D7" s="36"/>
      <c r="E7" s="36">
        <v>16075.63</v>
      </c>
      <c r="F7" s="36">
        <v>5658.09</v>
      </c>
      <c r="G7" s="36" t="s">
        <v>51</v>
      </c>
      <c r="H7" s="36">
        <v>13272.13</v>
      </c>
    </row>
    <row r="8" spans="1:8">
      <c r="B8" t="s">
        <v>55</v>
      </c>
      <c r="C8" s="36">
        <v>12996.8</v>
      </c>
      <c r="D8" s="36">
        <v>3672.4</v>
      </c>
      <c r="E8" s="36">
        <v>13555.279999999999</v>
      </c>
      <c r="F8" s="36">
        <v>11702.05</v>
      </c>
      <c r="G8" s="36">
        <v>3525.2</v>
      </c>
      <c r="H8" s="36">
        <v>13878.63</v>
      </c>
    </row>
    <row r="9" spans="1:8">
      <c r="B9" t="s">
        <v>56</v>
      </c>
      <c r="C9" s="36">
        <v>14526.67</v>
      </c>
      <c r="D9" s="36">
        <v>11646.68</v>
      </c>
      <c r="E9" s="36">
        <v>10638.8</v>
      </c>
      <c r="F9" s="36">
        <v>14986.37</v>
      </c>
      <c r="G9" s="36">
        <v>13742.53</v>
      </c>
      <c r="H9" s="36">
        <v>8957.77</v>
      </c>
    </row>
    <row r="10" spans="1:8">
      <c r="B10" t="s">
        <v>57</v>
      </c>
      <c r="C10" s="36">
        <v>2548.4</v>
      </c>
      <c r="D10" s="36">
        <v>9140.1999999999989</v>
      </c>
      <c r="E10" s="36">
        <v>5551.4</v>
      </c>
      <c r="F10" s="36">
        <v>2653</v>
      </c>
      <c r="G10" s="36">
        <v>9883.11</v>
      </c>
      <c r="H10" s="36">
        <v>6162.22</v>
      </c>
    </row>
    <row r="11" spans="1:8">
      <c r="B11" t="s">
        <v>58</v>
      </c>
      <c r="C11" s="36">
        <v>6588.55</v>
      </c>
      <c r="D11" s="36">
        <v>2496.2399999999998</v>
      </c>
      <c r="E11" s="36">
        <v>6612.8</v>
      </c>
      <c r="F11" s="36">
        <v>7634.02</v>
      </c>
      <c r="G11" s="36">
        <v>2906.38</v>
      </c>
      <c r="H11" s="36">
        <v>7691.94</v>
      </c>
    </row>
    <row r="12" spans="1:8">
      <c r="B12" t="s">
        <v>59</v>
      </c>
      <c r="C12" s="36">
        <v>4788.47</v>
      </c>
      <c r="D12" s="36">
        <v>4548.41</v>
      </c>
      <c r="E12" s="36">
        <v>4728.3100000000004</v>
      </c>
      <c r="F12" s="36">
        <v>4081.22</v>
      </c>
      <c r="G12" s="36">
        <v>3895.22</v>
      </c>
      <c r="H12" s="36">
        <v>4088.67</v>
      </c>
    </row>
    <row r="13" spans="1:8">
      <c r="B13" t="s">
        <v>60</v>
      </c>
      <c r="C13" s="36">
        <v>9875.07</v>
      </c>
      <c r="D13" s="36">
        <v>15100.27</v>
      </c>
      <c r="E13" s="36"/>
      <c r="F13" s="36">
        <v>9628.81</v>
      </c>
      <c r="G13" s="36">
        <v>17558.580000000002</v>
      </c>
      <c r="H13" s="36" t="s">
        <v>51</v>
      </c>
    </row>
    <row r="14" spans="1:8">
      <c r="B14" t="s">
        <v>61</v>
      </c>
      <c r="C14" s="36">
        <v>35041.75</v>
      </c>
      <c r="D14" s="36">
        <v>14040.8</v>
      </c>
      <c r="E14" s="36">
        <v>27061.269999999997</v>
      </c>
      <c r="F14" s="36">
        <v>41479.730000000003</v>
      </c>
      <c r="G14" s="36">
        <v>16633.650000000001</v>
      </c>
      <c r="H14" s="36">
        <v>24709.24</v>
      </c>
    </row>
    <row r="15" spans="1:8">
      <c r="B15" t="s">
        <v>62</v>
      </c>
      <c r="C15" s="36">
        <v>1356.4</v>
      </c>
      <c r="D15" s="36">
        <v>4170.29</v>
      </c>
      <c r="E15" s="36">
        <v>1518.37</v>
      </c>
      <c r="F15" s="36">
        <v>1449.72</v>
      </c>
      <c r="G15" s="36">
        <v>3467.74</v>
      </c>
      <c r="H15" s="36">
        <v>1760.74</v>
      </c>
    </row>
    <row r="16" spans="1:8">
      <c r="B16" t="s">
        <v>63</v>
      </c>
      <c r="C16" s="36">
        <v>4297.16</v>
      </c>
      <c r="D16" s="36">
        <v>5161.2000000000007</v>
      </c>
      <c r="E16" s="36">
        <v>2328.4</v>
      </c>
      <c r="F16" s="36">
        <v>5127.49</v>
      </c>
      <c r="G16" s="36">
        <v>5758.4</v>
      </c>
      <c r="H16" s="36">
        <v>1980.36</v>
      </c>
    </row>
    <row r="17" spans="1:8">
      <c r="B17" t="s">
        <v>64</v>
      </c>
      <c r="C17" s="36">
        <v>6150.82</v>
      </c>
      <c r="D17" s="36">
        <v>3810.42</v>
      </c>
      <c r="E17" s="36">
        <v>1640.45</v>
      </c>
      <c r="F17" s="36">
        <v>6349.73</v>
      </c>
      <c r="G17" s="36">
        <v>3438.63</v>
      </c>
      <c r="H17" s="36">
        <v>1858.6</v>
      </c>
    </row>
    <row r="18" spans="1:8">
      <c r="B18" t="s">
        <v>65</v>
      </c>
      <c r="C18" s="36">
        <v>11594.4</v>
      </c>
      <c r="D18" s="36">
        <v>30504.629999999997</v>
      </c>
      <c r="E18" s="36"/>
      <c r="F18" s="36">
        <v>12366.36</v>
      </c>
      <c r="G18" s="36">
        <v>32709.71</v>
      </c>
      <c r="H18" s="36" t="s">
        <v>51</v>
      </c>
    </row>
    <row r="19" spans="1:8">
      <c r="B19" t="s">
        <v>66</v>
      </c>
      <c r="C19" s="36">
        <v>23374.400000000001</v>
      </c>
      <c r="D19" s="36">
        <v>45880.54</v>
      </c>
      <c r="E19" s="36">
        <v>31434.550000000003</v>
      </c>
      <c r="F19" s="36">
        <v>19135.23</v>
      </c>
      <c r="G19" s="36">
        <v>47066.07</v>
      </c>
      <c r="H19" s="36">
        <v>32848.53</v>
      </c>
    </row>
    <row r="20" spans="1:8">
      <c r="B20" t="s">
        <v>67</v>
      </c>
      <c r="C20" s="36">
        <v>1920.4</v>
      </c>
      <c r="D20" s="36">
        <v>4308.3999999999996</v>
      </c>
      <c r="E20" s="36">
        <v>9913.0400000000009</v>
      </c>
      <c r="F20" s="36">
        <v>2297.54</v>
      </c>
      <c r="G20" s="36">
        <v>3730.46</v>
      </c>
      <c r="H20" s="36">
        <v>9138.58</v>
      </c>
    </row>
    <row r="21" spans="1:8">
      <c r="B21" t="s">
        <v>68</v>
      </c>
      <c r="C21" s="36"/>
      <c r="D21" s="36"/>
      <c r="E21" s="36">
        <v>7512.8499999999995</v>
      </c>
      <c r="F21" s="36" t="s">
        <v>51</v>
      </c>
      <c r="G21" s="36" t="s">
        <v>51</v>
      </c>
      <c r="H21" s="36">
        <v>7590.27</v>
      </c>
    </row>
    <row r="22" spans="1:8">
      <c r="B22" t="s">
        <v>69</v>
      </c>
      <c r="C22" s="36"/>
      <c r="D22" s="36">
        <v>4277.1899999999996</v>
      </c>
      <c r="E22" s="36">
        <v>5642.4</v>
      </c>
      <c r="F22" s="36" t="s">
        <v>51</v>
      </c>
      <c r="G22" s="36">
        <v>4792.7299999999996</v>
      </c>
      <c r="H22" s="36">
        <v>6070.36</v>
      </c>
    </row>
    <row r="23" spans="1:8" ht="15.6">
      <c r="A23" s="37" t="s">
        <v>70</v>
      </c>
      <c r="B23" s="37"/>
      <c r="C23" s="38">
        <f>SUM(C3:C22)</f>
        <v>252181.63999999998</v>
      </c>
      <c r="D23" s="38">
        <f>SUM(D3:D22)</f>
        <v>240235.16000000006</v>
      </c>
      <c r="E23" s="38">
        <f>SUM(E3:E22)</f>
        <v>201114.83</v>
      </c>
      <c r="F23" s="38">
        <f>SUM(F3:F22)</f>
        <v>264181.25</v>
      </c>
      <c r="G23" s="38">
        <f>SUM(G3:G22)</f>
        <v>261407.08</v>
      </c>
      <c r="H23" s="38">
        <f>SUM(H3:H22)</f>
        <v>193082.56999999995</v>
      </c>
    </row>
    <row r="24" spans="1:8">
      <c r="A24" t="s">
        <v>71</v>
      </c>
      <c r="B24" t="s">
        <v>49</v>
      </c>
      <c r="C24" s="36">
        <v>22200.2</v>
      </c>
      <c r="D24" s="36">
        <v>36060.5</v>
      </c>
      <c r="E24" s="36">
        <v>23820.37</v>
      </c>
      <c r="F24" s="36">
        <v>26461.25</v>
      </c>
      <c r="G24" s="36">
        <v>30806.34</v>
      </c>
      <c r="H24" s="36">
        <v>20731.900000000001</v>
      </c>
    </row>
    <row r="25" spans="1:8">
      <c r="B25" t="s">
        <v>50</v>
      </c>
      <c r="C25" s="36">
        <v>26100.400000000001</v>
      </c>
      <c r="D25" s="36">
        <v>61801.200000000004</v>
      </c>
      <c r="E25" s="36"/>
      <c r="F25" s="36">
        <v>26553.5</v>
      </c>
      <c r="G25" s="36">
        <v>70101.919999999998</v>
      </c>
      <c r="H25" s="36" t="s">
        <v>51</v>
      </c>
    </row>
    <row r="26" spans="1:8">
      <c r="B26" t="s">
        <v>52</v>
      </c>
      <c r="C26" s="36"/>
      <c r="D26" s="36">
        <v>28101.739999999998</v>
      </c>
      <c r="E26" s="36">
        <v>17800.8</v>
      </c>
      <c r="F26" s="36" t="s">
        <v>51</v>
      </c>
      <c r="G26" s="36">
        <v>28084.18</v>
      </c>
      <c r="H26" s="36">
        <v>20203.71</v>
      </c>
    </row>
    <row r="27" spans="1:8">
      <c r="B27" t="s">
        <v>53</v>
      </c>
      <c r="C27" s="36">
        <v>18875.650000000001</v>
      </c>
      <c r="D27" s="36">
        <v>16325.619999999999</v>
      </c>
      <c r="E27" s="36">
        <v>6950.4</v>
      </c>
      <c r="F27" s="36">
        <v>18520.919999999998</v>
      </c>
      <c r="G27" s="36">
        <v>17452.330000000002</v>
      </c>
      <c r="H27" s="36">
        <v>5795.45</v>
      </c>
    </row>
    <row r="28" spans="1:8">
      <c r="B28" t="s">
        <v>54</v>
      </c>
      <c r="C28" s="36">
        <v>4850.3999999999996</v>
      </c>
      <c r="D28" s="36">
        <v>10250.4</v>
      </c>
      <c r="E28" s="36">
        <v>12225.8</v>
      </c>
      <c r="F28" s="36">
        <v>5525.82</v>
      </c>
      <c r="G28" s="36">
        <v>11904.49</v>
      </c>
      <c r="H28" s="36">
        <v>13223.45</v>
      </c>
    </row>
    <row r="29" spans="1:8">
      <c r="B29" t="s">
        <v>55</v>
      </c>
      <c r="C29" s="36">
        <v>14382.58</v>
      </c>
      <c r="D29" s="36">
        <v>5508.22</v>
      </c>
      <c r="E29" s="36">
        <v>25903.61</v>
      </c>
      <c r="F29" s="36">
        <v>15224.36</v>
      </c>
      <c r="G29" s="36">
        <v>4962.17</v>
      </c>
      <c r="H29" s="36">
        <v>29418.93</v>
      </c>
    </row>
    <row r="30" spans="1:8">
      <c r="B30" t="s">
        <v>56</v>
      </c>
      <c r="C30" s="36">
        <v>20395.38</v>
      </c>
      <c r="D30" s="36">
        <v>8208.630000000001</v>
      </c>
      <c r="E30" s="36">
        <v>15210.8</v>
      </c>
      <c r="F30" s="36">
        <v>21130.55</v>
      </c>
      <c r="G30" s="36">
        <v>8633.67</v>
      </c>
      <c r="H30" s="36">
        <v>17320.939999999999</v>
      </c>
    </row>
    <row r="31" spans="1:8">
      <c r="B31" t="s">
        <v>57</v>
      </c>
      <c r="C31" s="36">
        <v>14340.48</v>
      </c>
      <c r="D31" s="36">
        <v>13963.32</v>
      </c>
      <c r="E31" s="36"/>
      <c r="F31" s="36">
        <v>14086.11</v>
      </c>
      <c r="G31" s="36">
        <v>15434.34</v>
      </c>
      <c r="H31" s="36" t="s">
        <v>51</v>
      </c>
    </row>
    <row r="32" spans="1:8">
      <c r="B32" t="s">
        <v>58</v>
      </c>
      <c r="C32" s="36">
        <v>13008.96</v>
      </c>
      <c r="D32" s="36"/>
      <c r="E32" s="36"/>
      <c r="F32" s="36">
        <v>13759.43</v>
      </c>
      <c r="G32" s="36" t="s">
        <v>51</v>
      </c>
      <c r="H32" s="36" t="s">
        <v>51</v>
      </c>
    </row>
    <row r="33" spans="1:8">
      <c r="B33" t="s">
        <v>59</v>
      </c>
      <c r="C33" s="36">
        <v>4656</v>
      </c>
      <c r="D33" s="36">
        <v>3060.4</v>
      </c>
      <c r="E33" s="36">
        <v>3552.19</v>
      </c>
      <c r="F33" s="36">
        <v>3832.01</v>
      </c>
      <c r="G33" s="36">
        <v>3547.08</v>
      </c>
      <c r="H33" s="36">
        <v>3973.08</v>
      </c>
    </row>
    <row r="34" spans="1:8">
      <c r="B34" t="s">
        <v>60</v>
      </c>
      <c r="C34" s="36"/>
      <c r="D34" s="36">
        <v>6275.07</v>
      </c>
      <c r="E34" s="36">
        <v>5300.31</v>
      </c>
      <c r="F34" s="36" t="s">
        <v>51</v>
      </c>
      <c r="G34" s="36">
        <v>6095.45</v>
      </c>
      <c r="H34" s="36">
        <v>5069.13</v>
      </c>
    </row>
    <row r="35" spans="1:8">
      <c r="B35" t="s">
        <v>61</v>
      </c>
      <c r="C35" s="36">
        <v>5120.3999999999996</v>
      </c>
      <c r="D35" s="36">
        <v>11080.58</v>
      </c>
      <c r="E35" s="36">
        <v>6560.33</v>
      </c>
      <c r="F35" s="36">
        <v>4952.78</v>
      </c>
      <c r="G35" s="36">
        <v>9777.57</v>
      </c>
      <c r="H35" s="36">
        <v>7791.57</v>
      </c>
    </row>
    <row r="36" spans="1:8">
      <c r="B36" t="s">
        <v>62</v>
      </c>
      <c r="C36" s="36">
        <v>1740.4</v>
      </c>
      <c r="D36" s="36">
        <v>2298.2600000000002</v>
      </c>
      <c r="E36" s="36"/>
      <c r="F36" s="36">
        <v>1823.06</v>
      </c>
      <c r="G36" s="36">
        <v>1842.42</v>
      </c>
      <c r="H36" s="36" t="s">
        <v>51</v>
      </c>
    </row>
    <row r="37" spans="1:8">
      <c r="B37" t="s">
        <v>63</v>
      </c>
      <c r="C37" s="36">
        <v>1458.4</v>
      </c>
      <c r="D37" s="36">
        <v>3558.77</v>
      </c>
      <c r="E37" s="36">
        <v>9222.83</v>
      </c>
      <c r="F37" s="36">
        <v>1638.38</v>
      </c>
      <c r="G37" s="36">
        <v>4261.1099999999997</v>
      </c>
      <c r="H37" s="36">
        <v>7741.49</v>
      </c>
    </row>
    <row r="38" spans="1:8">
      <c r="B38" t="s">
        <v>64</v>
      </c>
      <c r="C38" s="36">
        <v>13321.38</v>
      </c>
      <c r="D38" s="36">
        <v>7650.99</v>
      </c>
      <c r="E38" s="36">
        <v>3750.4700000000003</v>
      </c>
      <c r="F38" s="36">
        <v>15711.31</v>
      </c>
      <c r="G38" s="36">
        <v>6263.44</v>
      </c>
      <c r="H38" s="36">
        <v>3885.69</v>
      </c>
    </row>
    <row r="39" spans="1:8">
      <c r="B39" t="s">
        <v>65</v>
      </c>
      <c r="C39" s="36">
        <v>37386.5</v>
      </c>
      <c r="D39" s="36">
        <v>23436.400000000001</v>
      </c>
      <c r="E39" s="36">
        <v>70246.789999999994</v>
      </c>
      <c r="F39" s="36">
        <v>42808.09</v>
      </c>
      <c r="G39" s="36">
        <v>26002.31</v>
      </c>
      <c r="H39" s="36">
        <v>71271.98</v>
      </c>
    </row>
    <row r="40" spans="1:8">
      <c r="B40" t="s">
        <v>66</v>
      </c>
      <c r="C40" s="36">
        <v>11346.4</v>
      </c>
      <c r="D40" s="36">
        <v>18166.400000000001</v>
      </c>
      <c r="E40" s="36">
        <v>61318.73</v>
      </c>
      <c r="F40" s="36">
        <v>9240.32</v>
      </c>
      <c r="G40" s="36">
        <v>17291.599999999999</v>
      </c>
      <c r="H40" s="36">
        <v>64479.42</v>
      </c>
    </row>
    <row r="41" spans="1:8">
      <c r="B41" t="s">
        <v>67</v>
      </c>
      <c r="C41" s="36"/>
      <c r="D41" s="36">
        <v>4080.34</v>
      </c>
      <c r="E41" s="36">
        <v>6372.84</v>
      </c>
      <c r="F41" s="36" t="s">
        <v>51</v>
      </c>
      <c r="G41" s="36">
        <v>3648.83</v>
      </c>
      <c r="H41" s="36">
        <v>7021.04</v>
      </c>
    </row>
    <row r="42" spans="1:8">
      <c r="B42" t="s">
        <v>68</v>
      </c>
      <c r="C42" s="36"/>
      <c r="D42" s="36"/>
      <c r="E42" s="36"/>
      <c r="F42" s="36" t="s">
        <v>51</v>
      </c>
      <c r="G42" s="36" t="s">
        <v>51</v>
      </c>
      <c r="H42" s="36" t="s">
        <v>51</v>
      </c>
    </row>
    <row r="43" spans="1:8">
      <c r="B43" t="s">
        <v>69</v>
      </c>
      <c r="C43" s="36">
        <v>7904.61</v>
      </c>
      <c r="D43" s="36"/>
      <c r="E43" s="36">
        <v>2977.32</v>
      </c>
      <c r="F43" s="36">
        <v>8968.68</v>
      </c>
      <c r="G43" s="36" t="s">
        <v>51</v>
      </c>
      <c r="H43" s="36">
        <v>2511.67</v>
      </c>
    </row>
    <row r="44" spans="1:8" ht="15.6">
      <c r="A44" s="37" t="s">
        <v>72</v>
      </c>
      <c r="B44" s="37"/>
      <c r="C44" s="38">
        <f>SUM(C24:C43)</f>
        <v>217088.13999999996</v>
      </c>
      <c r="D44" s="38">
        <f>SUM(D24:D43)</f>
        <v>259826.83999999997</v>
      </c>
      <c r="E44" s="38">
        <f>SUM(E24:E43)</f>
        <v>271213.59000000003</v>
      </c>
      <c r="F44" s="38">
        <f>SUM(F24:F43)</f>
        <v>230236.57</v>
      </c>
      <c r="G44" s="38">
        <f>SUM(G24:G43)</f>
        <v>266109.25000000006</v>
      </c>
      <c r="H44" s="38">
        <f>SUM(H24:H43)</f>
        <v>280439.44999999995</v>
      </c>
    </row>
    <row r="45" spans="1:8">
      <c r="A45" t="s">
        <v>73</v>
      </c>
      <c r="B45" t="s">
        <v>49</v>
      </c>
      <c r="C45" s="36">
        <v>15000.48</v>
      </c>
      <c r="D45" s="36"/>
      <c r="E45" s="36"/>
      <c r="F45" s="36">
        <v>12796.51</v>
      </c>
      <c r="G45" s="36" t="s">
        <v>51</v>
      </c>
      <c r="H45" s="36" t="s">
        <v>51</v>
      </c>
    </row>
    <row r="46" spans="1:8">
      <c r="B46" t="s">
        <v>50</v>
      </c>
      <c r="C46" s="36"/>
      <c r="D46" s="36"/>
      <c r="E46" s="36"/>
      <c r="F46" s="36" t="s">
        <v>51</v>
      </c>
      <c r="G46" s="36" t="s">
        <v>51</v>
      </c>
      <c r="H46" s="36" t="s">
        <v>51</v>
      </c>
    </row>
    <row r="47" spans="1:8">
      <c r="B47" t="s">
        <v>52</v>
      </c>
      <c r="C47" s="36">
        <v>9375.25</v>
      </c>
      <c r="D47" s="36">
        <v>10450.25</v>
      </c>
      <c r="E47" s="36"/>
      <c r="F47" s="36">
        <v>7508.11</v>
      </c>
      <c r="G47" s="36">
        <v>11525.58</v>
      </c>
      <c r="H47" s="36" t="s">
        <v>51</v>
      </c>
    </row>
    <row r="48" spans="1:8">
      <c r="B48" t="s">
        <v>53</v>
      </c>
      <c r="C48" s="36">
        <v>7300.16</v>
      </c>
      <c r="D48" s="36"/>
      <c r="E48" s="36"/>
      <c r="F48" s="36">
        <v>8296.7900000000009</v>
      </c>
      <c r="G48" s="36" t="s">
        <v>51</v>
      </c>
      <c r="H48" s="36" t="s">
        <v>51</v>
      </c>
    </row>
    <row r="49" spans="1:8">
      <c r="B49" t="s">
        <v>54</v>
      </c>
      <c r="C49" s="36">
        <v>10300.36</v>
      </c>
      <c r="D49" s="36"/>
      <c r="E49" s="36"/>
      <c r="F49" s="36">
        <v>8967.7900000000009</v>
      </c>
      <c r="G49" s="36" t="s">
        <v>51</v>
      </c>
      <c r="H49" s="36" t="s">
        <v>51</v>
      </c>
    </row>
    <row r="50" spans="1:8">
      <c r="B50" t="s">
        <v>56</v>
      </c>
      <c r="C50" s="36"/>
      <c r="D50" s="36"/>
      <c r="E50" s="36"/>
      <c r="F50" s="36" t="s">
        <v>51</v>
      </c>
      <c r="G50" s="36" t="s">
        <v>51</v>
      </c>
      <c r="H50" s="36" t="s">
        <v>51</v>
      </c>
    </row>
    <row r="51" spans="1:8">
      <c r="B51" t="s">
        <v>57</v>
      </c>
      <c r="C51" s="36"/>
      <c r="D51" s="36"/>
      <c r="E51" s="36">
        <v>2652.4</v>
      </c>
      <c r="F51" s="36" t="s">
        <v>51</v>
      </c>
      <c r="G51" s="36" t="s">
        <v>51</v>
      </c>
      <c r="H51" s="36">
        <v>2312.83</v>
      </c>
    </row>
    <row r="52" spans="1:8">
      <c r="B52" t="s">
        <v>58</v>
      </c>
      <c r="C52" s="36">
        <v>2472.4</v>
      </c>
      <c r="D52" s="36"/>
      <c r="E52" s="36"/>
      <c r="F52" s="36">
        <v>2676.63</v>
      </c>
      <c r="G52" s="36" t="s">
        <v>51</v>
      </c>
      <c r="H52" s="36" t="s">
        <v>51</v>
      </c>
    </row>
    <row r="53" spans="1:8">
      <c r="B53" t="s">
        <v>59</v>
      </c>
      <c r="C53" s="36"/>
      <c r="D53" s="36"/>
      <c r="E53" s="36">
        <v>3912.4</v>
      </c>
      <c r="F53" s="36" t="s">
        <v>51</v>
      </c>
      <c r="G53" s="36" t="s">
        <v>51</v>
      </c>
      <c r="H53" s="36">
        <v>3553.42</v>
      </c>
    </row>
    <row r="54" spans="1:8">
      <c r="B54" t="s">
        <v>60</v>
      </c>
      <c r="C54" s="36"/>
      <c r="D54" s="36">
        <v>10700.01</v>
      </c>
      <c r="E54" s="36"/>
      <c r="F54" s="36" t="s">
        <v>51</v>
      </c>
      <c r="G54" s="36">
        <v>9572.26</v>
      </c>
      <c r="H54" s="36" t="s">
        <v>51</v>
      </c>
    </row>
    <row r="55" spans="1:8">
      <c r="B55" t="s">
        <v>61</v>
      </c>
      <c r="C55" s="36"/>
      <c r="D55" s="36"/>
      <c r="E55" s="36">
        <v>4760.28</v>
      </c>
      <c r="F55" s="36" t="s">
        <v>51</v>
      </c>
      <c r="G55" s="36" t="s">
        <v>51</v>
      </c>
      <c r="H55" s="36">
        <v>5485.25</v>
      </c>
    </row>
    <row r="56" spans="1:8">
      <c r="B56" t="s">
        <v>62</v>
      </c>
      <c r="C56" s="36"/>
      <c r="D56" s="36"/>
      <c r="E56" s="36"/>
      <c r="F56" s="36" t="s">
        <v>51</v>
      </c>
      <c r="G56" s="36" t="s">
        <v>51</v>
      </c>
      <c r="H56" s="36" t="s">
        <v>51</v>
      </c>
    </row>
    <row r="57" spans="1:8">
      <c r="B57" t="s">
        <v>63</v>
      </c>
      <c r="C57" s="36"/>
      <c r="D57" s="36"/>
      <c r="E57" s="36"/>
      <c r="F57" s="36" t="s">
        <v>51</v>
      </c>
      <c r="G57" s="36" t="s">
        <v>51</v>
      </c>
      <c r="H57" s="36" t="s">
        <v>51</v>
      </c>
    </row>
    <row r="58" spans="1:8">
      <c r="B58" t="s">
        <v>64</v>
      </c>
      <c r="C58" s="36"/>
      <c r="D58" s="36"/>
      <c r="E58" s="36"/>
      <c r="F58" s="36" t="s">
        <v>51</v>
      </c>
      <c r="G58" s="36" t="s">
        <v>51</v>
      </c>
      <c r="H58" s="36" t="s">
        <v>51</v>
      </c>
    </row>
    <row r="59" spans="1:8">
      <c r="B59" t="s">
        <v>65</v>
      </c>
      <c r="C59" s="36"/>
      <c r="D59" s="36">
        <v>16120.4</v>
      </c>
      <c r="E59" s="36"/>
      <c r="F59" s="36" t="s">
        <v>51</v>
      </c>
      <c r="G59" s="36">
        <v>14552.11</v>
      </c>
      <c r="H59" s="36" t="s">
        <v>51</v>
      </c>
    </row>
    <row r="60" spans="1:8">
      <c r="B60" t="s">
        <v>66</v>
      </c>
      <c r="C60" s="36"/>
      <c r="D60" s="36"/>
      <c r="E60" s="36">
        <v>14260.14</v>
      </c>
      <c r="F60" s="36" t="s">
        <v>51</v>
      </c>
      <c r="G60" s="36" t="s">
        <v>51</v>
      </c>
      <c r="H60" s="36">
        <v>13881.44</v>
      </c>
    </row>
    <row r="61" spans="1:8">
      <c r="B61" t="s">
        <v>67</v>
      </c>
      <c r="C61" s="36"/>
      <c r="D61" s="36">
        <v>4584.8</v>
      </c>
      <c r="E61" s="36"/>
      <c r="F61" s="36" t="s">
        <v>51</v>
      </c>
      <c r="G61" s="36">
        <v>5321.15</v>
      </c>
      <c r="H61" s="36" t="s">
        <v>51</v>
      </c>
    </row>
    <row r="62" spans="1:8">
      <c r="B62" t="s">
        <v>68</v>
      </c>
      <c r="C62" s="36"/>
      <c r="D62" s="36"/>
      <c r="E62" s="36">
        <v>2940.41</v>
      </c>
      <c r="F62" s="36" t="s">
        <v>51</v>
      </c>
      <c r="G62" s="36" t="s">
        <v>51</v>
      </c>
      <c r="H62" s="36">
        <v>3451.49</v>
      </c>
    </row>
    <row r="63" spans="1:8">
      <c r="B63" t="s">
        <v>69</v>
      </c>
      <c r="C63" s="36"/>
      <c r="D63" s="36"/>
      <c r="E63" s="36"/>
      <c r="F63" s="36" t="s">
        <v>51</v>
      </c>
      <c r="G63" s="36" t="s">
        <v>51</v>
      </c>
      <c r="H63" s="36" t="s">
        <v>51</v>
      </c>
    </row>
    <row r="64" spans="1:8" ht="15.6">
      <c r="A64" s="37" t="s">
        <v>74</v>
      </c>
      <c r="B64" s="37"/>
      <c r="C64" s="38">
        <f>SUM(C45:C63)</f>
        <v>44448.65</v>
      </c>
      <c r="D64" s="38">
        <f>SUM(D45:D63)</f>
        <v>41855.460000000006</v>
      </c>
      <c r="E64" s="38">
        <f>SUM(E45:E63)</f>
        <v>28525.63</v>
      </c>
      <c r="F64" s="38">
        <f>SUM(F45:F63)</f>
        <v>40245.829999999994</v>
      </c>
      <c r="G64" s="38">
        <f>SUM(G45:G63)</f>
        <v>40971.1</v>
      </c>
      <c r="H64" s="38">
        <f>SUM(H45:H63)</f>
        <v>28684.43</v>
      </c>
    </row>
    <row r="65" spans="1:8">
      <c r="A65" t="s">
        <v>75</v>
      </c>
      <c r="B65" t="s">
        <v>49</v>
      </c>
      <c r="C65" s="36">
        <v>30540.799999999999</v>
      </c>
      <c r="D65" s="36">
        <v>15840.01</v>
      </c>
      <c r="E65" s="36"/>
      <c r="F65" s="36">
        <v>25576.37</v>
      </c>
      <c r="G65" s="36">
        <v>15602.39</v>
      </c>
      <c r="H65" s="36" t="s">
        <v>51</v>
      </c>
    </row>
    <row r="66" spans="1:8">
      <c r="B66" t="s">
        <v>50</v>
      </c>
      <c r="C66" s="36"/>
      <c r="D66" s="36">
        <v>80401.27</v>
      </c>
      <c r="E66" s="36">
        <v>48301.24</v>
      </c>
      <c r="F66" s="36" t="s">
        <v>51</v>
      </c>
      <c r="G66" s="36">
        <v>74738.62</v>
      </c>
      <c r="H66" s="36">
        <v>43789.23</v>
      </c>
    </row>
    <row r="67" spans="1:8">
      <c r="B67" t="s">
        <v>52</v>
      </c>
      <c r="C67" s="36">
        <v>8775.34</v>
      </c>
      <c r="D67" s="36">
        <v>4700.3999999999996</v>
      </c>
      <c r="E67" s="36">
        <v>15850.869999999999</v>
      </c>
      <c r="F67" s="36">
        <v>10037.18</v>
      </c>
      <c r="G67" s="36">
        <v>5066.92</v>
      </c>
      <c r="H67" s="36">
        <v>17319.53</v>
      </c>
    </row>
    <row r="68" spans="1:8">
      <c r="B68" t="s">
        <v>53</v>
      </c>
      <c r="C68" s="36">
        <v>17400.400000000001</v>
      </c>
      <c r="D68" s="36">
        <v>6325.4</v>
      </c>
      <c r="E68" s="36">
        <v>15650.5</v>
      </c>
      <c r="F68" s="36">
        <v>16524.259999999998</v>
      </c>
      <c r="G68" s="36">
        <v>6427.92</v>
      </c>
      <c r="H68" s="36">
        <v>18712.310000000001</v>
      </c>
    </row>
    <row r="69" spans="1:8">
      <c r="B69" t="s">
        <v>54</v>
      </c>
      <c r="C69" s="36">
        <v>31802.039999999997</v>
      </c>
      <c r="D69" s="36">
        <v>45401.84</v>
      </c>
      <c r="E69" s="36">
        <v>42151.39</v>
      </c>
      <c r="F69" s="36">
        <v>26849.59</v>
      </c>
      <c r="G69" s="36">
        <v>38766.639999999999</v>
      </c>
      <c r="H69" s="36">
        <v>48375.6</v>
      </c>
    </row>
    <row r="70" spans="1:8">
      <c r="B70" t="s">
        <v>55</v>
      </c>
      <c r="C70" s="36">
        <v>3834.4</v>
      </c>
      <c r="D70" s="36">
        <v>11142.8</v>
      </c>
      <c r="E70" s="36">
        <v>27488.04</v>
      </c>
      <c r="F70" s="36">
        <v>4282.1099999999997</v>
      </c>
      <c r="G70" s="36">
        <v>10111.1</v>
      </c>
      <c r="H70" s="36">
        <v>28168.93</v>
      </c>
    </row>
    <row r="71" spans="1:8">
      <c r="B71" t="s">
        <v>56</v>
      </c>
      <c r="C71" s="36">
        <v>13770.54</v>
      </c>
      <c r="D71" s="36">
        <v>3456.4</v>
      </c>
      <c r="E71" s="36">
        <v>14904.859999999999</v>
      </c>
      <c r="F71" s="36">
        <v>14199.97</v>
      </c>
      <c r="G71" s="36">
        <v>3360.53</v>
      </c>
      <c r="H71" s="36">
        <v>13331.25</v>
      </c>
    </row>
    <row r="72" spans="1:8">
      <c r="B72" t="s">
        <v>57</v>
      </c>
      <c r="C72" s="36">
        <v>8164.84</v>
      </c>
      <c r="D72" s="36"/>
      <c r="E72" s="36">
        <v>2990.4</v>
      </c>
      <c r="F72" s="36">
        <v>7011.05</v>
      </c>
      <c r="G72" s="36" t="s">
        <v>51</v>
      </c>
      <c r="H72" s="36">
        <v>2411.0100000000002</v>
      </c>
    </row>
    <row r="73" spans="1:8">
      <c r="B73" t="s">
        <v>58</v>
      </c>
      <c r="C73" s="36">
        <v>8292.7999999999993</v>
      </c>
      <c r="D73" s="36"/>
      <c r="E73" s="36">
        <v>4620.3999999999996</v>
      </c>
      <c r="F73" s="36">
        <v>7456.37</v>
      </c>
      <c r="G73" s="36" t="s">
        <v>51</v>
      </c>
      <c r="H73" s="36">
        <v>5437.04</v>
      </c>
    </row>
    <row r="74" spans="1:8">
      <c r="B74" t="s">
        <v>59</v>
      </c>
      <c r="C74" s="36">
        <v>8244.7999999999993</v>
      </c>
      <c r="D74" s="36">
        <v>9193.02</v>
      </c>
      <c r="E74" s="36">
        <v>2184.35</v>
      </c>
      <c r="F74" s="36">
        <v>9556.85</v>
      </c>
      <c r="G74" s="36">
        <v>10448.299999999999</v>
      </c>
      <c r="H74" s="36">
        <v>2260.21</v>
      </c>
    </row>
    <row r="75" spans="1:8">
      <c r="B75" t="s">
        <v>60</v>
      </c>
      <c r="C75" s="36">
        <v>12000.84</v>
      </c>
      <c r="D75" s="36">
        <v>4375.3999999999996</v>
      </c>
      <c r="E75" s="36"/>
      <c r="F75" s="36">
        <v>13636.55</v>
      </c>
      <c r="G75" s="36">
        <v>4821.5</v>
      </c>
      <c r="H75" s="36" t="s">
        <v>51</v>
      </c>
    </row>
    <row r="76" spans="1:8">
      <c r="B76" t="s">
        <v>61</v>
      </c>
      <c r="C76" s="36">
        <v>6660.46</v>
      </c>
      <c r="D76" s="36">
        <v>19240.850000000002</v>
      </c>
      <c r="E76" s="36">
        <v>11180.62</v>
      </c>
      <c r="F76" s="36">
        <v>5453.21</v>
      </c>
      <c r="G76" s="36">
        <v>16351.22</v>
      </c>
      <c r="H76" s="36">
        <v>13256.97</v>
      </c>
    </row>
    <row r="77" spans="1:8">
      <c r="B77" t="s">
        <v>62</v>
      </c>
      <c r="C77" s="36">
        <v>1602.48</v>
      </c>
      <c r="D77" s="36"/>
      <c r="E77" s="36">
        <v>3973.05</v>
      </c>
      <c r="F77" s="36">
        <v>1310.28</v>
      </c>
      <c r="G77" s="36" t="s">
        <v>51</v>
      </c>
      <c r="H77" s="36">
        <v>3744.26</v>
      </c>
    </row>
    <row r="78" spans="1:8">
      <c r="B78" t="s">
        <v>63</v>
      </c>
      <c r="C78" s="36"/>
      <c r="D78" s="36">
        <v>7393.3900000000012</v>
      </c>
      <c r="E78" s="36"/>
      <c r="F78" s="36" t="s">
        <v>51</v>
      </c>
      <c r="G78" s="36">
        <v>6161.55</v>
      </c>
      <c r="H78" s="36" t="s">
        <v>51</v>
      </c>
    </row>
    <row r="79" spans="1:8">
      <c r="B79" t="s">
        <v>64</v>
      </c>
      <c r="C79" s="36">
        <v>3030.01</v>
      </c>
      <c r="D79" s="36">
        <v>9870.9599999999991</v>
      </c>
      <c r="E79" s="36"/>
      <c r="F79" s="36">
        <v>2953.48</v>
      </c>
      <c r="G79" s="36">
        <v>10114.379999999999</v>
      </c>
      <c r="H79" s="36" t="s">
        <v>51</v>
      </c>
    </row>
    <row r="80" spans="1:8">
      <c r="B80" t="s">
        <v>65</v>
      </c>
      <c r="C80" s="36">
        <v>55801</v>
      </c>
      <c r="D80" s="36">
        <v>63923.270000000004</v>
      </c>
      <c r="E80" s="36"/>
      <c r="F80" s="36">
        <v>48701.64</v>
      </c>
      <c r="G80" s="36">
        <v>67963.31</v>
      </c>
      <c r="H80" s="36" t="s">
        <v>51</v>
      </c>
    </row>
    <row r="81" spans="1:8">
      <c r="B81" t="s">
        <v>66</v>
      </c>
      <c r="C81" s="36">
        <v>43276.72</v>
      </c>
      <c r="D81" s="36">
        <v>20894.400000000001</v>
      </c>
      <c r="E81" s="36"/>
      <c r="F81" s="36">
        <v>50025.8</v>
      </c>
      <c r="G81" s="36">
        <v>18910.04</v>
      </c>
      <c r="H81" s="36" t="s">
        <v>51</v>
      </c>
    </row>
    <row r="82" spans="1:8">
      <c r="B82" t="s">
        <v>67</v>
      </c>
      <c r="C82" s="36">
        <v>8172.59</v>
      </c>
      <c r="D82" s="36"/>
      <c r="E82" s="36">
        <v>12301.23</v>
      </c>
      <c r="F82" s="36">
        <v>8310.18</v>
      </c>
      <c r="G82" s="36" t="s">
        <v>51</v>
      </c>
      <c r="H82" s="36">
        <v>12501.27</v>
      </c>
    </row>
    <row r="83" spans="1:8">
      <c r="B83" t="s">
        <v>68</v>
      </c>
      <c r="C83" s="36">
        <v>5352.55</v>
      </c>
      <c r="D83" s="36"/>
      <c r="E83" s="36">
        <v>5088.3</v>
      </c>
      <c r="F83" s="36">
        <v>5303.37</v>
      </c>
      <c r="G83" s="36" t="s">
        <v>51</v>
      </c>
      <c r="H83" s="36">
        <v>5221.93</v>
      </c>
    </row>
    <row r="84" spans="1:8">
      <c r="B84" t="s">
        <v>69</v>
      </c>
      <c r="C84" s="36">
        <v>7904.68</v>
      </c>
      <c r="D84" s="36">
        <v>4797.3999999999996</v>
      </c>
      <c r="E84" s="36">
        <v>5434.8</v>
      </c>
      <c r="F84" s="36">
        <v>8097.02</v>
      </c>
      <c r="G84" s="36">
        <v>4739.5200000000004</v>
      </c>
      <c r="H84" s="36">
        <v>5152.93</v>
      </c>
    </row>
    <row r="85" spans="1:8" ht="15.6">
      <c r="A85" s="37" t="s">
        <v>76</v>
      </c>
      <c r="B85" s="37"/>
      <c r="C85" s="38">
        <f>SUM(C65:C84)</f>
        <v>274627.28999999998</v>
      </c>
      <c r="D85" s="38">
        <f>SUM(D65:D84)</f>
        <v>306956.81</v>
      </c>
      <c r="E85" s="38">
        <f>SUM(E65:E84)</f>
        <v>212120.04999999996</v>
      </c>
      <c r="F85" s="38">
        <f>SUM(F65:F84)</f>
        <v>265285.27999999997</v>
      </c>
      <c r="G85" s="38">
        <f>SUM(G65:G84)</f>
        <v>293583.94</v>
      </c>
      <c r="H85" s="38">
        <f>SUM(H65:H84)</f>
        <v>219682.47</v>
      </c>
    </row>
    <row r="86" spans="1:8">
      <c r="A86" t="s">
        <v>77</v>
      </c>
      <c r="B86" t="s">
        <v>49</v>
      </c>
      <c r="C86" s="36">
        <v>20040.03</v>
      </c>
      <c r="D86" s="36"/>
      <c r="E86" s="36">
        <v>23160.14</v>
      </c>
      <c r="F86" s="36">
        <v>21433.45</v>
      </c>
      <c r="G86" s="36" t="s">
        <v>51</v>
      </c>
      <c r="H86" s="36">
        <v>27351.45</v>
      </c>
    </row>
    <row r="87" spans="1:8">
      <c r="B87" t="s">
        <v>50</v>
      </c>
      <c r="C87" s="36"/>
      <c r="D87" s="36">
        <v>49320.76</v>
      </c>
      <c r="E87" s="36">
        <v>9600.2099999999991</v>
      </c>
      <c r="F87" s="36" t="s">
        <v>51</v>
      </c>
      <c r="G87" s="36">
        <v>39603.71</v>
      </c>
      <c r="H87" s="36">
        <v>8098.27</v>
      </c>
    </row>
    <row r="88" spans="1:8">
      <c r="B88" t="s">
        <v>52</v>
      </c>
      <c r="C88" s="36">
        <v>11250.23</v>
      </c>
      <c r="D88" s="36">
        <v>12600.44</v>
      </c>
      <c r="E88" s="36"/>
      <c r="F88" s="36">
        <v>10411.120000000001</v>
      </c>
      <c r="G88" s="36">
        <v>13812.03</v>
      </c>
      <c r="H88" s="36" t="s">
        <v>51</v>
      </c>
    </row>
    <row r="89" spans="1:8">
      <c r="B89" t="s">
        <v>53</v>
      </c>
      <c r="C89" s="36">
        <v>16475.8</v>
      </c>
      <c r="D89" s="36">
        <v>20075.5</v>
      </c>
      <c r="E89" s="36">
        <v>42477.08</v>
      </c>
      <c r="F89" s="36">
        <v>17354.75</v>
      </c>
      <c r="G89" s="36">
        <v>18041.330000000002</v>
      </c>
      <c r="H89" s="36">
        <v>46383.16</v>
      </c>
    </row>
    <row r="90" spans="1:8">
      <c r="B90" t="s">
        <v>54</v>
      </c>
      <c r="C90" s="36"/>
      <c r="D90" s="36">
        <v>12200.61</v>
      </c>
      <c r="E90" s="36"/>
      <c r="F90" s="36" t="s">
        <v>51</v>
      </c>
      <c r="G90" s="36">
        <v>10002.11</v>
      </c>
      <c r="H90" s="36" t="s">
        <v>51</v>
      </c>
    </row>
    <row r="91" spans="1:8">
      <c r="B91" t="s">
        <v>55</v>
      </c>
      <c r="C91" s="36">
        <v>5904.4</v>
      </c>
      <c r="D91" s="36">
        <v>5832.33</v>
      </c>
      <c r="E91" s="36">
        <v>4194.32</v>
      </c>
      <c r="F91" s="36">
        <v>5154.63</v>
      </c>
      <c r="G91" s="36">
        <v>5666.27</v>
      </c>
      <c r="H91" s="36">
        <v>4544.28</v>
      </c>
    </row>
    <row r="92" spans="1:8">
      <c r="B92" t="s">
        <v>56</v>
      </c>
      <c r="C92" s="36">
        <v>13303.17</v>
      </c>
      <c r="D92" s="36">
        <v>7650.4</v>
      </c>
      <c r="E92" s="36">
        <v>4554.3999999999996</v>
      </c>
      <c r="F92" s="36">
        <v>14698.77</v>
      </c>
      <c r="G92" s="36">
        <v>6690.52</v>
      </c>
      <c r="H92" s="36">
        <v>4764.9399999999996</v>
      </c>
    </row>
    <row r="93" spans="1:8">
      <c r="B93" t="s">
        <v>57</v>
      </c>
      <c r="C93" s="36"/>
      <c r="D93" s="36"/>
      <c r="E93" s="36">
        <v>6292.66</v>
      </c>
      <c r="F93" s="36" t="s">
        <v>51</v>
      </c>
      <c r="G93" s="36" t="s">
        <v>51</v>
      </c>
      <c r="H93" s="36">
        <v>6965.14</v>
      </c>
    </row>
    <row r="94" spans="1:8">
      <c r="B94" t="s">
        <v>58</v>
      </c>
      <c r="C94" s="36">
        <v>4068.17</v>
      </c>
      <c r="D94" s="36">
        <v>2856.13</v>
      </c>
      <c r="E94" s="36"/>
      <c r="F94" s="36">
        <v>3879.02</v>
      </c>
      <c r="G94" s="36">
        <v>2394.7800000000002</v>
      </c>
      <c r="H94" s="36" t="s">
        <v>51</v>
      </c>
    </row>
    <row r="95" spans="1:8">
      <c r="B95" t="s">
        <v>59</v>
      </c>
      <c r="C95" s="36">
        <v>2760.25</v>
      </c>
      <c r="D95" s="36">
        <v>5172.3999999999996</v>
      </c>
      <c r="E95" s="36"/>
      <c r="F95" s="36">
        <v>3170.34</v>
      </c>
      <c r="G95" s="36">
        <v>6192.98</v>
      </c>
      <c r="H95" s="36" t="s">
        <v>51</v>
      </c>
    </row>
    <row r="96" spans="1:8">
      <c r="B96" t="s">
        <v>60</v>
      </c>
      <c r="C96" s="36">
        <v>30476.67</v>
      </c>
      <c r="D96" s="36">
        <v>9875.7999999999993</v>
      </c>
      <c r="E96" s="36"/>
      <c r="F96" s="36">
        <v>31866.06</v>
      </c>
      <c r="G96" s="36">
        <v>10207.08</v>
      </c>
      <c r="H96" s="36" t="s">
        <v>51</v>
      </c>
    </row>
    <row r="97" spans="1:8">
      <c r="B97" t="s">
        <v>61</v>
      </c>
      <c r="C97" s="36"/>
      <c r="D97" s="36">
        <v>5300.02</v>
      </c>
      <c r="E97" s="36">
        <v>7400.4</v>
      </c>
      <c r="F97" s="36" t="s">
        <v>51</v>
      </c>
      <c r="G97" s="36">
        <v>5008</v>
      </c>
      <c r="H97" s="36">
        <v>7024.86</v>
      </c>
    </row>
    <row r="98" spans="1:8">
      <c r="B98" t="s">
        <v>62</v>
      </c>
      <c r="C98" s="36">
        <v>1440.4</v>
      </c>
      <c r="D98" s="36">
        <v>3654.4</v>
      </c>
      <c r="E98" s="36">
        <v>2628.02</v>
      </c>
      <c r="F98" s="36">
        <v>1285.48</v>
      </c>
      <c r="G98" s="36">
        <v>4142.37</v>
      </c>
      <c r="H98" s="36">
        <v>2781.93</v>
      </c>
    </row>
    <row r="99" spans="1:8">
      <c r="B99" t="s">
        <v>63</v>
      </c>
      <c r="C99" s="36">
        <v>1044.4000000000001</v>
      </c>
      <c r="D99" s="36"/>
      <c r="E99" s="36">
        <v>2484.37</v>
      </c>
      <c r="F99" s="36">
        <v>859.32</v>
      </c>
      <c r="G99" s="36" t="s">
        <v>51</v>
      </c>
      <c r="H99" s="36">
        <v>2385.94</v>
      </c>
    </row>
    <row r="100" spans="1:8">
      <c r="B100" t="s">
        <v>64</v>
      </c>
      <c r="C100" s="36"/>
      <c r="D100" s="36">
        <v>4790.4400000000005</v>
      </c>
      <c r="E100" s="36">
        <v>2410.19</v>
      </c>
      <c r="F100" s="36" t="s">
        <v>51</v>
      </c>
      <c r="G100" s="36">
        <v>5308.99</v>
      </c>
      <c r="H100" s="36">
        <v>2653.61</v>
      </c>
    </row>
    <row r="101" spans="1:8">
      <c r="B101" t="s">
        <v>65</v>
      </c>
      <c r="C101" s="36">
        <v>19902.400000000001</v>
      </c>
      <c r="D101" s="36"/>
      <c r="E101" s="36"/>
      <c r="F101" s="36">
        <v>15971.46</v>
      </c>
      <c r="G101" s="36" t="s">
        <v>51</v>
      </c>
      <c r="H101" s="36" t="s">
        <v>51</v>
      </c>
    </row>
    <row r="102" spans="1:8">
      <c r="B102" t="s">
        <v>66</v>
      </c>
      <c r="C102" s="36">
        <v>38874.68</v>
      </c>
      <c r="D102" s="36">
        <v>25668.17</v>
      </c>
      <c r="E102" s="36">
        <v>15562.19</v>
      </c>
      <c r="F102" s="36">
        <v>39196.54</v>
      </c>
      <c r="G102" s="36">
        <v>27302.14</v>
      </c>
      <c r="H102" s="36">
        <v>13116.64</v>
      </c>
    </row>
    <row r="103" spans="1:8">
      <c r="B103" t="s">
        <v>67</v>
      </c>
      <c r="C103" s="36"/>
      <c r="D103" s="36"/>
      <c r="E103" s="36">
        <v>18001.48</v>
      </c>
      <c r="F103" s="36" t="s">
        <v>51</v>
      </c>
      <c r="G103" s="36" t="s">
        <v>51</v>
      </c>
      <c r="H103" s="36">
        <v>14818.04</v>
      </c>
    </row>
    <row r="104" spans="1:8">
      <c r="B104" t="s">
        <v>68</v>
      </c>
      <c r="C104" s="36">
        <v>9000.7200000000012</v>
      </c>
      <c r="D104" s="36">
        <v>4212.3999999999996</v>
      </c>
      <c r="E104" s="36">
        <v>9840.74</v>
      </c>
      <c r="F104" s="36">
        <v>10423.85</v>
      </c>
      <c r="G104" s="36">
        <v>4342.1499999999996</v>
      </c>
      <c r="H104" s="36">
        <v>10523.05</v>
      </c>
    </row>
    <row r="105" spans="1:8">
      <c r="B105" t="s">
        <v>69</v>
      </c>
      <c r="C105" s="36"/>
      <c r="D105" s="36">
        <v>2522.4</v>
      </c>
      <c r="E105" s="36"/>
      <c r="F105" s="36" t="s">
        <v>51</v>
      </c>
      <c r="G105" s="36">
        <v>2387.41</v>
      </c>
      <c r="H105" s="36" t="s">
        <v>51</v>
      </c>
    </row>
    <row r="106" spans="1:8" ht="15.6">
      <c r="A106" s="37" t="s">
        <v>78</v>
      </c>
      <c r="B106" s="37"/>
      <c r="C106" s="38">
        <f>SUM(C86:C105)</f>
        <v>174541.31999999998</v>
      </c>
      <c r="D106" s="38">
        <f>SUM(D86:D105)</f>
        <v>171732.2</v>
      </c>
      <c r="E106" s="38">
        <f>SUM(E86:E105)</f>
        <v>148606.19999999998</v>
      </c>
      <c r="F106" s="38">
        <f>SUM(F86:F105)</f>
        <v>175704.79</v>
      </c>
      <c r="G106" s="38">
        <f>SUM(G86:G105)</f>
        <v>161101.87</v>
      </c>
      <c r="H106" s="38">
        <f>SUM(H86:H105)</f>
        <v>151411.31</v>
      </c>
    </row>
    <row r="107" spans="1:8">
      <c r="A107" t="s">
        <v>79</v>
      </c>
      <c r="B107" t="s">
        <v>49</v>
      </c>
      <c r="C107" s="36"/>
      <c r="D107" s="36"/>
      <c r="E107" s="36">
        <v>11160.4</v>
      </c>
      <c r="F107" s="36" t="s">
        <v>51</v>
      </c>
      <c r="G107" s="36" t="s">
        <v>51</v>
      </c>
      <c r="H107" s="36">
        <v>12784.04</v>
      </c>
    </row>
    <row r="108" spans="1:8">
      <c r="B108" t="s">
        <v>50</v>
      </c>
      <c r="C108" s="36">
        <v>32700.39</v>
      </c>
      <c r="D108" s="36">
        <v>21420.03</v>
      </c>
      <c r="E108" s="36">
        <v>16560.3</v>
      </c>
      <c r="F108" s="36">
        <v>27278</v>
      </c>
      <c r="G108" s="36">
        <v>23930.82</v>
      </c>
      <c r="H108" s="36">
        <v>15969.44</v>
      </c>
    </row>
    <row r="109" spans="1:8">
      <c r="B109" t="s">
        <v>52</v>
      </c>
      <c r="C109" s="36">
        <v>21550.799999999999</v>
      </c>
      <c r="D109" s="36"/>
      <c r="E109" s="36"/>
      <c r="F109" s="36">
        <v>24109.99</v>
      </c>
      <c r="G109" s="36" t="s">
        <v>51</v>
      </c>
      <c r="H109" s="36" t="s">
        <v>51</v>
      </c>
    </row>
    <row r="110" spans="1:8">
      <c r="B110" t="s">
        <v>53</v>
      </c>
      <c r="C110" s="36">
        <v>14375.57</v>
      </c>
      <c r="D110" s="36">
        <v>20976.14</v>
      </c>
      <c r="E110" s="36"/>
      <c r="F110" s="36">
        <v>14251.46</v>
      </c>
      <c r="G110" s="36">
        <v>24817.62</v>
      </c>
      <c r="H110" s="36" t="s">
        <v>51</v>
      </c>
    </row>
    <row r="111" spans="1:8">
      <c r="B111" t="s">
        <v>54</v>
      </c>
      <c r="C111" s="36"/>
      <c r="D111" s="36"/>
      <c r="E111" s="36">
        <v>7100.33</v>
      </c>
      <c r="F111" s="36" t="s">
        <v>51</v>
      </c>
      <c r="G111" s="36" t="s">
        <v>51</v>
      </c>
      <c r="H111" s="36">
        <v>6385.96</v>
      </c>
    </row>
    <row r="112" spans="1:8">
      <c r="B112" t="s">
        <v>55</v>
      </c>
      <c r="C112" s="36">
        <v>17227.07</v>
      </c>
      <c r="D112" s="36">
        <v>3168.24</v>
      </c>
      <c r="E112" s="36">
        <v>6714.4</v>
      </c>
      <c r="F112" s="36">
        <v>15003.97</v>
      </c>
      <c r="G112" s="36">
        <v>2795.04</v>
      </c>
      <c r="H112" s="36">
        <v>7422.7</v>
      </c>
    </row>
    <row r="113" spans="1:8">
      <c r="B113" t="s">
        <v>56</v>
      </c>
      <c r="C113" s="36"/>
      <c r="D113" s="36">
        <v>4446.4399999999996</v>
      </c>
      <c r="E113" s="36">
        <v>7200.4</v>
      </c>
      <c r="F113" s="36" t="s">
        <v>51</v>
      </c>
      <c r="G113" s="36">
        <v>4426.74</v>
      </c>
      <c r="H113" s="36">
        <v>6331.93</v>
      </c>
    </row>
    <row r="114" spans="1:8">
      <c r="B114" t="s">
        <v>57</v>
      </c>
      <c r="C114" s="36">
        <v>6955.7800000000007</v>
      </c>
      <c r="D114" s="36">
        <v>3705.4</v>
      </c>
      <c r="E114" s="36"/>
      <c r="F114" s="36">
        <v>6209.79</v>
      </c>
      <c r="G114" s="36">
        <v>4171.3</v>
      </c>
      <c r="H114" s="36" t="s">
        <v>51</v>
      </c>
    </row>
    <row r="115" spans="1:8">
      <c r="B115" t="s">
        <v>58</v>
      </c>
      <c r="C115" s="36"/>
      <c r="D115" s="36">
        <v>2964.17</v>
      </c>
      <c r="E115" s="36">
        <v>13548.94</v>
      </c>
      <c r="F115" s="36" t="s">
        <v>51</v>
      </c>
      <c r="G115" s="36">
        <v>2634.37</v>
      </c>
      <c r="H115" s="36">
        <v>14267.29</v>
      </c>
    </row>
    <row r="116" spans="1:8">
      <c r="B116" t="s">
        <v>59</v>
      </c>
      <c r="C116" s="36">
        <v>10260.799999999999</v>
      </c>
      <c r="D116" s="36"/>
      <c r="E116" s="36">
        <v>3252.16</v>
      </c>
      <c r="F116" s="36">
        <v>10459.24</v>
      </c>
      <c r="G116" s="36" t="s">
        <v>51</v>
      </c>
      <c r="H116" s="36">
        <v>3579.32</v>
      </c>
    </row>
    <row r="117" spans="1:8">
      <c r="B117" t="s">
        <v>60</v>
      </c>
      <c r="C117" s="36">
        <v>10800.4</v>
      </c>
      <c r="D117" s="36"/>
      <c r="E117" s="36">
        <v>4300.3500000000004</v>
      </c>
      <c r="F117" s="36">
        <v>11403.76</v>
      </c>
      <c r="G117" s="36" t="s">
        <v>51</v>
      </c>
      <c r="H117" s="36">
        <v>3864.57</v>
      </c>
    </row>
    <row r="118" spans="1:8">
      <c r="B118" t="s">
        <v>61</v>
      </c>
      <c r="C118" s="36">
        <v>6120.14</v>
      </c>
      <c r="D118" s="36">
        <v>8440.27</v>
      </c>
      <c r="E118" s="36"/>
      <c r="F118" s="36">
        <v>5362.35</v>
      </c>
      <c r="G118" s="36">
        <v>7818.7</v>
      </c>
      <c r="H118" s="36" t="s">
        <v>51</v>
      </c>
    </row>
    <row r="119" spans="1:8">
      <c r="B119" t="s">
        <v>62</v>
      </c>
      <c r="C119" s="36">
        <v>1500.4</v>
      </c>
      <c r="D119" s="36"/>
      <c r="E119" s="36">
        <v>2496.04</v>
      </c>
      <c r="F119" s="36">
        <v>1295.5899999999999</v>
      </c>
      <c r="G119" s="36" t="s">
        <v>51</v>
      </c>
      <c r="H119" s="36">
        <v>2336.39</v>
      </c>
    </row>
    <row r="120" spans="1:8">
      <c r="B120" t="s">
        <v>63</v>
      </c>
      <c r="C120" s="36"/>
      <c r="D120" s="36">
        <v>2364.4</v>
      </c>
      <c r="E120" s="36">
        <v>2022.26</v>
      </c>
      <c r="F120" s="36" t="s">
        <v>51</v>
      </c>
      <c r="G120" s="36">
        <v>1994.92</v>
      </c>
      <c r="H120" s="36">
        <v>2297.79</v>
      </c>
    </row>
    <row r="121" spans="1:8">
      <c r="B121" t="s">
        <v>64</v>
      </c>
      <c r="C121" s="36">
        <v>8570.34</v>
      </c>
      <c r="D121" s="36">
        <v>4030.8</v>
      </c>
      <c r="E121" s="36">
        <v>4330.3900000000003</v>
      </c>
      <c r="F121" s="36">
        <v>9530.76</v>
      </c>
      <c r="G121" s="36">
        <v>3413.38</v>
      </c>
      <c r="H121" s="36">
        <v>3731.74</v>
      </c>
    </row>
    <row r="122" spans="1:8">
      <c r="B122" t="s">
        <v>65</v>
      </c>
      <c r="C122" s="36"/>
      <c r="D122" s="36">
        <v>67084.81</v>
      </c>
      <c r="E122" s="36">
        <v>18414.400000000001</v>
      </c>
      <c r="F122" s="36" t="s">
        <v>51</v>
      </c>
      <c r="G122" s="36">
        <v>53768.959999999999</v>
      </c>
      <c r="H122" s="36">
        <v>20638.990000000002</v>
      </c>
    </row>
    <row r="123" spans="1:8">
      <c r="B123" t="s">
        <v>66</v>
      </c>
      <c r="C123" s="36">
        <v>18724.400000000001</v>
      </c>
      <c r="D123" s="36">
        <v>9796.4</v>
      </c>
      <c r="E123" s="36"/>
      <c r="F123" s="36">
        <v>16655.97</v>
      </c>
      <c r="G123" s="36">
        <v>11105.46</v>
      </c>
      <c r="H123" s="36" t="s">
        <v>51</v>
      </c>
    </row>
    <row r="124" spans="1:8">
      <c r="B124" t="s">
        <v>67</v>
      </c>
      <c r="C124" s="36"/>
      <c r="D124" s="36"/>
      <c r="E124" s="36">
        <v>6816.57</v>
      </c>
      <c r="F124" s="36" t="s">
        <v>51</v>
      </c>
      <c r="G124" s="36" t="s">
        <v>51</v>
      </c>
      <c r="H124" s="36">
        <v>5875.25</v>
      </c>
    </row>
    <row r="125" spans="1:8">
      <c r="B125" t="s">
        <v>68</v>
      </c>
      <c r="C125" s="36"/>
      <c r="D125" s="36"/>
      <c r="E125" s="36">
        <v>2604.2600000000002</v>
      </c>
      <c r="F125" s="36" t="s">
        <v>51</v>
      </c>
      <c r="G125" s="36" t="s">
        <v>51</v>
      </c>
      <c r="H125" s="36">
        <v>2708.21</v>
      </c>
    </row>
    <row r="126" spans="1:8">
      <c r="B126" t="s">
        <v>69</v>
      </c>
      <c r="C126" s="36"/>
      <c r="D126" s="36">
        <v>10907.439999999999</v>
      </c>
      <c r="E126" s="36"/>
      <c r="F126" s="36" t="s">
        <v>51</v>
      </c>
      <c r="G126" s="36">
        <v>9505.15</v>
      </c>
      <c r="H126" s="36" t="s">
        <v>51</v>
      </c>
    </row>
    <row r="127" spans="1:8" ht="15.6">
      <c r="A127" s="37" t="s">
        <v>80</v>
      </c>
      <c r="B127" s="37"/>
      <c r="C127" s="38">
        <f>SUM(C107:C126)</f>
        <v>148786.09</v>
      </c>
      <c r="D127" s="38">
        <f>SUM(D107:D126)</f>
        <v>159304.54</v>
      </c>
      <c r="E127" s="38">
        <f>SUM(E107:E126)</f>
        <v>106521.2</v>
      </c>
      <c r="F127" s="38">
        <f>SUM(F107:F126)</f>
        <v>141560.88</v>
      </c>
      <c r="G127" s="38">
        <f>SUM(G107:G126)</f>
        <v>150382.46</v>
      </c>
      <c r="H127" s="38">
        <f>SUM(H107:H126)</f>
        <v>108193.62000000002</v>
      </c>
    </row>
    <row r="128" spans="1:8" ht="16.2" thickBot="1">
      <c r="A128" s="39" t="s">
        <v>81</v>
      </c>
      <c r="B128" s="39"/>
      <c r="C128" s="40">
        <f>C127+C106+C85+C64+C44+C23</f>
        <v>1111673.1299999999</v>
      </c>
      <c r="D128" s="40">
        <f>D127+D106+D85+D64+D44+D23</f>
        <v>1179911.01</v>
      </c>
      <c r="E128" s="40">
        <f>E127+E106+E85+E64+E44+E23</f>
        <v>968101.49999999988</v>
      </c>
      <c r="F128" s="40">
        <f>F127+F106+F85+F64+F44+F23</f>
        <v>1117214.5999999999</v>
      </c>
      <c r="G128" s="40">
        <f>G127+G106+G85+G64+G44+G23</f>
        <v>1173555.7000000002</v>
      </c>
      <c r="H128" s="40">
        <f>H127+H106+H85+H64+H44+H23</f>
        <v>981493.85</v>
      </c>
    </row>
    <row r="129" ht="15" thickTop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3EB6-F967-42F6-B65D-D9A7FE67DD8F}">
  <dimension ref="A1:E42"/>
  <sheetViews>
    <sheetView workbookViewId="0">
      <selection activeCell="H21" sqref="H21"/>
    </sheetView>
  </sheetViews>
  <sheetFormatPr defaultRowHeight="14.4"/>
  <cols>
    <col min="1" max="1" width="10.6640625" bestFit="1" customWidth="1"/>
    <col min="2" max="2" width="14.88671875" bestFit="1" customWidth="1"/>
    <col min="3" max="3" width="16.33203125" bestFit="1" customWidth="1"/>
    <col min="4" max="4" width="10" bestFit="1" customWidth="1"/>
    <col min="5" max="5" width="3" bestFit="1" customWidth="1"/>
  </cols>
  <sheetData>
    <row r="1" spans="1:5" ht="15.6">
      <c r="A1" s="41">
        <v>41646</v>
      </c>
      <c r="B1" s="42" t="s">
        <v>82</v>
      </c>
      <c r="C1" s="43" t="s">
        <v>83</v>
      </c>
    </row>
    <row r="2" spans="1:5">
      <c r="B2" t="s">
        <v>84</v>
      </c>
      <c r="C2" t="s">
        <v>85</v>
      </c>
      <c r="D2" t="s">
        <v>86</v>
      </c>
      <c r="E2">
        <v>25</v>
      </c>
    </row>
    <row r="3" spans="1:5">
      <c r="B3" t="s">
        <v>87</v>
      </c>
      <c r="C3" t="s">
        <v>88</v>
      </c>
      <c r="D3" t="s">
        <v>89</v>
      </c>
      <c r="E3">
        <v>12</v>
      </c>
    </row>
    <row r="4" spans="1:5">
      <c r="B4" t="s">
        <v>90</v>
      </c>
      <c r="C4" t="s">
        <v>91</v>
      </c>
      <c r="D4" t="s">
        <v>92</v>
      </c>
      <c r="E4">
        <v>36</v>
      </c>
    </row>
    <row r="5" spans="1:5" ht="15.6">
      <c r="A5" s="44">
        <v>41649</v>
      </c>
      <c r="B5" s="45" t="s">
        <v>93</v>
      </c>
      <c r="C5" s="43" t="s">
        <v>94</v>
      </c>
    </row>
    <row r="6" spans="1:5">
      <c r="B6" t="s">
        <v>84</v>
      </c>
      <c r="C6" t="s">
        <v>85</v>
      </c>
      <c r="D6" t="s">
        <v>86</v>
      </c>
      <c r="E6">
        <v>50</v>
      </c>
    </row>
    <row r="7" spans="1:5">
      <c r="B7" t="s">
        <v>87</v>
      </c>
      <c r="C7" t="s">
        <v>88</v>
      </c>
      <c r="D7" t="s">
        <v>89</v>
      </c>
      <c r="E7">
        <v>33</v>
      </c>
    </row>
    <row r="8" spans="1:5" ht="15.6">
      <c r="A8" s="44">
        <v>41659</v>
      </c>
      <c r="B8" s="45" t="s">
        <v>95</v>
      </c>
      <c r="C8" s="43" t="s">
        <v>96</v>
      </c>
    </row>
    <row r="9" spans="1:5">
      <c r="B9" t="s">
        <v>84</v>
      </c>
      <c r="C9" t="s">
        <v>85</v>
      </c>
      <c r="D9" t="s">
        <v>86</v>
      </c>
      <c r="E9">
        <v>80</v>
      </c>
    </row>
    <row r="10" spans="1:5">
      <c r="B10" t="s">
        <v>90</v>
      </c>
      <c r="C10" t="s">
        <v>91</v>
      </c>
      <c r="D10" t="s">
        <v>92</v>
      </c>
      <c r="E10">
        <v>94</v>
      </c>
    </row>
    <row r="11" spans="1:5" ht="15.6">
      <c r="A11" s="44">
        <v>41706</v>
      </c>
      <c r="B11" s="42" t="s">
        <v>97</v>
      </c>
      <c r="C11" s="43" t="s">
        <v>98</v>
      </c>
    </row>
    <row r="12" spans="1:5">
      <c r="B12" t="s">
        <v>90</v>
      </c>
      <c r="C12" t="s">
        <v>91</v>
      </c>
      <c r="D12" t="s">
        <v>92</v>
      </c>
      <c r="E12">
        <v>45</v>
      </c>
    </row>
    <row r="13" spans="1:5">
      <c r="B13" t="s">
        <v>87</v>
      </c>
      <c r="C13" t="s">
        <v>88</v>
      </c>
      <c r="D13" t="s">
        <v>89</v>
      </c>
      <c r="E13">
        <v>22</v>
      </c>
    </row>
    <row r="14" spans="1:5" ht="15.6">
      <c r="A14" s="41">
        <v>42011</v>
      </c>
      <c r="B14" s="42" t="s">
        <v>82</v>
      </c>
      <c r="C14" s="46" t="s">
        <v>99</v>
      </c>
    </row>
    <row r="15" spans="1:5">
      <c r="B15" t="s">
        <v>84</v>
      </c>
      <c r="C15" t="s">
        <v>85</v>
      </c>
      <c r="D15" t="s">
        <v>86</v>
      </c>
      <c r="E15">
        <v>25</v>
      </c>
    </row>
    <row r="16" spans="1:5">
      <c r="B16" t="s">
        <v>87</v>
      </c>
      <c r="C16" t="s">
        <v>88</v>
      </c>
      <c r="D16" t="s">
        <v>89</v>
      </c>
      <c r="E16">
        <v>12</v>
      </c>
    </row>
    <row r="17" spans="1:5">
      <c r="B17" t="s">
        <v>90</v>
      </c>
      <c r="C17" t="s">
        <v>91</v>
      </c>
      <c r="D17" t="s">
        <v>92</v>
      </c>
      <c r="E17">
        <v>36</v>
      </c>
    </row>
    <row r="18" spans="1:5" ht="15.6">
      <c r="A18" s="44">
        <v>42014</v>
      </c>
      <c r="B18" s="45" t="s">
        <v>93</v>
      </c>
      <c r="C18" s="46" t="s">
        <v>100</v>
      </c>
    </row>
    <row r="19" spans="1:5">
      <c r="B19" t="s">
        <v>84</v>
      </c>
      <c r="C19" t="s">
        <v>85</v>
      </c>
      <c r="D19" t="s">
        <v>86</v>
      </c>
      <c r="E19">
        <v>50</v>
      </c>
    </row>
    <row r="20" spans="1:5">
      <c r="B20" t="s">
        <v>87</v>
      </c>
      <c r="C20" t="s">
        <v>88</v>
      </c>
      <c r="D20" t="s">
        <v>89</v>
      </c>
      <c r="E20">
        <v>33</v>
      </c>
    </row>
    <row r="21" spans="1:5" ht="15.6">
      <c r="A21" s="44">
        <v>42024</v>
      </c>
      <c r="B21" s="45" t="s">
        <v>95</v>
      </c>
      <c r="C21" s="46" t="s">
        <v>101</v>
      </c>
    </row>
    <row r="22" spans="1:5">
      <c r="B22" t="s">
        <v>84</v>
      </c>
      <c r="C22" t="s">
        <v>85</v>
      </c>
      <c r="D22" t="s">
        <v>86</v>
      </c>
      <c r="E22">
        <v>80</v>
      </c>
    </row>
    <row r="23" spans="1:5">
      <c r="B23" t="s">
        <v>90</v>
      </c>
      <c r="C23" t="s">
        <v>91</v>
      </c>
      <c r="D23" t="s">
        <v>92</v>
      </c>
      <c r="E23">
        <v>94</v>
      </c>
    </row>
    <row r="24" spans="1:5" ht="15.6">
      <c r="A24" s="44">
        <v>42071</v>
      </c>
      <c r="B24" s="42" t="s">
        <v>97</v>
      </c>
      <c r="C24" s="46" t="s">
        <v>102</v>
      </c>
    </row>
    <row r="25" spans="1:5">
      <c r="B25" t="s">
        <v>90</v>
      </c>
      <c r="C25" t="s">
        <v>91</v>
      </c>
      <c r="D25" t="s">
        <v>92</v>
      </c>
      <c r="E25">
        <v>45</v>
      </c>
    </row>
    <row r="26" spans="1:5">
      <c r="B26" t="s">
        <v>87</v>
      </c>
      <c r="C26" t="s">
        <v>88</v>
      </c>
      <c r="D26" t="s">
        <v>89</v>
      </c>
      <c r="E26">
        <v>22</v>
      </c>
    </row>
    <row r="27" spans="1:5" ht="15.6">
      <c r="A27" s="41">
        <v>42386</v>
      </c>
      <c r="B27" s="42" t="s">
        <v>82</v>
      </c>
      <c r="C27" s="46" t="s">
        <v>103</v>
      </c>
    </row>
    <row r="28" spans="1:5">
      <c r="B28" t="s">
        <v>84</v>
      </c>
      <c r="C28" t="s">
        <v>85</v>
      </c>
      <c r="D28" t="s">
        <v>86</v>
      </c>
      <c r="E28">
        <v>25</v>
      </c>
    </row>
    <row r="29" spans="1:5">
      <c r="B29" t="s">
        <v>87</v>
      </c>
      <c r="C29" t="s">
        <v>88</v>
      </c>
      <c r="D29" t="s">
        <v>89</v>
      </c>
      <c r="E29">
        <v>12</v>
      </c>
    </row>
    <row r="30" spans="1:5">
      <c r="B30" t="s">
        <v>90</v>
      </c>
      <c r="C30" t="s">
        <v>91</v>
      </c>
      <c r="D30" t="s">
        <v>92</v>
      </c>
      <c r="E30">
        <v>36</v>
      </c>
    </row>
    <row r="31" spans="1:5" ht="15.6">
      <c r="A31" s="41">
        <v>42558</v>
      </c>
      <c r="B31" s="42" t="s">
        <v>82</v>
      </c>
      <c r="C31" s="46" t="s">
        <v>104</v>
      </c>
    </row>
    <row r="32" spans="1:5">
      <c r="B32" t="s">
        <v>84</v>
      </c>
      <c r="C32" t="s">
        <v>85</v>
      </c>
      <c r="D32" t="s">
        <v>86</v>
      </c>
      <c r="E32">
        <v>25</v>
      </c>
    </row>
    <row r="33" spans="1:5">
      <c r="B33" t="s">
        <v>87</v>
      </c>
      <c r="C33" t="s">
        <v>88</v>
      </c>
      <c r="D33" t="s">
        <v>89</v>
      </c>
      <c r="E33">
        <v>12</v>
      </c>
    </row>
    <row r="34" spans="1:5">
      <c r="B34" t="s">
        <v>90</v>
      </c>
      <c r="C34" t="s">
        <v>91</v>
      </c>
      <c r="D34" t="s">
        <v>92</v>
      </c>
      <c r="E34">
        <v>36</v>
      </c>
    </row>
    <row r="35" spans="1:5" ht="15.6">
      <c r="A35" s="41">
        <v>42665</v>
      </c>
      <c r="B35" s="42" t="s">
        <v>82</v>
      </c>
      <c r="C35" s="46" t="s">
        <v>105</v>
      </c>
    </row>
    <row r="36" spans="1:5">
      <c r="B36" t="s">
        <v>84</v>
      </c>
      <c r="C36" t="s">
        <v>85</v>
      </c>
      <c r="D36" t="s">
        <v>86</v>
      </c>
      <c r="E36">
        <v>25</v>
      </c>
    </row>
    <row r="37" spans="1:5">
      <c r="B37" t="s">
        <v>87</v>
      </c>
      <c r="C37" t="s">
        <v>88</v>
      </c>
      <c r="D37" t="s">
        <v>89</v>
      </c>
      <c r="E37">
        <v>12</v>
      </c>
    </row>
    <row r="38" spans="1:5">
      <c r="B38" t="s">
        <v>90</v>
      </c>
      <c r="C38" t="s">
        <v>91</v>
      </c>
      <c r="D38" t="s">
        <v>92</v>
      </c>
      <c r="E38">
        <v>36</v>
      </c>
    </row>
    <row r="39" spans="1:5" ht="15.6">
      <c r="A39" s="41">
        <v>42704</v>
      </c>
      <c r="B39" s="42" t="s">
        <v>82</v>
      </c>
      <c r="C39" s="46" t="s">
        <v>106</v>
      </c>
    </row>
    <row r="40" spans="1:5">
      <c r="B40" t="s">
        <v>84</v>
      </c>
      <c r="C40" t="s">
        <v>85</v>
      </c>
      <c r="D40" t="s">
        <v>86</v>
      </c>
      <c r="E40">
        <v>25</v>
      </c>
    </row>
    <row r="41" spans="1:5">
      <c r="B41" t="s">
        <v>87</v>
      </c>
      <c r="C41" t="s">
        <v>88</v>
      </c>
      <c r="D41" t="s">
        <v>89</v>
      </c>
      <c r="E41">
        <v>12</v>
      </c>
    </row>
    <row r="42" spans="1:5">
      <c r="B42" t="s">
        <v>90</v>
      </c>
      <c r="C42" t="s">
        <v>91</v>
      </c>
      <c r="D42" t="s">
        <v>92</v>
      </c>
      <c r="E42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7C903A-F3E7-4D1F-9936-C3714512E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EX_1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2026-02-04T06:31:25Z</dcterms:created>
  <dcterms:modified xsi:type="dcterms:W3CDTF">2026-02-04T07:43:11Z</dcterms:modified>
</cp:coreProperties>
</file>